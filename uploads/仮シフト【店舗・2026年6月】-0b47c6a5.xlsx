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codeName="ThisWorkbook"/>
  <mc:AlternateContent xmlns:mc="http://schemas.openxmlformats.org/markup-compatibility/2006">
    <mc:Choice Requires="x15">
      <x15ac:absPath xmlns:x15ac="http://schemas.microsoft.com/office/spreadsheetml/2010/11/ac" url="C:\Users\satos\OneDrive\デスクトップ\"/>
    </mc:Choice>
  </mc:AlternateContent>
  <xr:revisionPtr revIDLastSave="0" documentId="8_{65AD5670-C9FA-4472-9A7E-41FC55A3A383}" xr6:coauthVersionLast="47" xr6:coauthVersionMax="47" xr10:uidLastSave="{00000000-0000-0000-0000-000000000000}"/>
  <bookViews>
    <workbookView xWindow="-120" yWindow="-16320" windowWidth="29040" windowHeight="15720" tabRatio="736" activeTab="11" xr2:uid="{00000000-000D-0000-FFFF-FFFF00000000}"/>
  </bookViews>
  <sheets>
    <sheet name="蒲6" sheetId="926" r:id="rId1"/>
    <sheet name="東6" sheetId="923" r:id="rId2"/>
    <sheet name="東Y6" sheetId="924" r:id="rId3"/>
    <sheet name="マ安6" sheetId="916" r:id="rId4"/>
    <sheet name="ﾓ草6" sheetId="922" r:id="rId5"/>
    <sheet name="草6" sheetId="920" r:id="rId6"/>
    <sheet name="新6" sheetId="921" r:id="rId7"/>
    <sheet name="ﾙｰﾄ6" sheetId="919" r:id="rId8"/>
    <sheet name="本6" sheetId="918" r:id="rId9"/>
    <sheet name="八6" sheetId="917" r:id="rId10"/>
    <sheet name="2号6" sheetId="915" r:id="rId11"/>
    <sheet name="伊6" sheetId="914" r:id="rId12"/>
  </sheets>
  <externalReferences>
    <externalReference r:id="rId13"/>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J42" i="926" l="1"/>
  <c r="I42" i="926"/>
  <c r="J41" i="926"/>
  <c r="I41" i="926"/>
  <c r="J40" i="926"/>
  <c r="I40" i="926"/>
  <c r="J39" i="926"/>
  <c r="I39" i="926"/>
  <c r="J38" i="926"/>
  <c r="I38" i="926"/>
  <c r="J34" i="926"/>
  <c r="I34" i="926"/>
  <c r="J33" i="926"/>
  <c r="I33" i="926"/>
  <c r="J32" i="926"/>
  <c r="I32" i="926"/>
  <c r="J31" i="926"/>
  <c r="I31" i="926"/>
  <c r="I30" i="926"/>
  <c r="J26" i="926"/>
  <c r="I26" i="926"/>
  <c r="J25" i="926"/>
  <c r="I25" i="926"/>
  <c r="J24" i="926"/>
  <c r="I24" i="926"/>
  <c r="J23" i="926"/>
  <c r="I23" i="926"/>
  <c r="J22" i="926"/>
  <c r="I22" i="926"/>
  <c r="J17" i="926"/>
  <c r="I17" i="926"/>
  <c r="J16" i="926"/>
  <c r="I16" i="926"/>
  <c r="J15" i="926"/>
  <c r="I15" i="926"/>
  <c r="J14" i="926"/>
  <c r="I14" i="926"/>
  <c r="J10" i="926"/>
  <c r="I10" i="926"/>
  <c r="J9" i="926"/>
  <c r="I9" i="926"/>
  <c r="J8" i="926"/>
  <c r="I8" i="926"/>
  <c r="J7" i="926"/>
  <c r="I7" i="926"/>
  <c r="J6" i="926"/>
  <c r="I6" i="926"/>
  <c r="I17" i="922" l="1"/>
  <c r="J48" i="924"/>
  <c r="J38" i="924"/>
  <c r="J28" i="924"/>
  <c r="J18" i="924"/>
  <c r="J8" i="924"/>
  <c r="J51" i="924"/>
  <c r="I51" i="924"/>
  <c r="J50" i="924"/>
  <c r="I50" i="924"/>
  <c r="J49" i="924"/>
  <c r="I49" i="924"/>
  <c r="I48" i="924"/>
  <c r="J47" i="924"/>
  <c r="I47" i="924"/>
  <c r="J46" i="924"/>
  <c r="I46" i="924"/>
  <c r="J41" i="924"/>
  <c r="I41" i="924"/>
  <c r="J40" i="924"/>
  <c r="I40" i="924"/>
  <c r="J39" i="924"/>
  <c r="I39" i="924"/>
  <c r="I38" i="924"/>
  <c r="J37" i="924"/>
  <c r="I37" i="924"/>
  <c r="J36" i="924"/>
  <c r="I36" i="924"/>
  <c r="J31" i="924"/>
  <c r="I31" i="924"/>
  <c r="J30" i="924"/>
  <c r="I30" i="924"/>
  <c r="J29" i="924"/>
  <c r="I29" i="924"/>
  <c r="I28" i="924"/>
  <c r="J27" i="924"/>
  <c r="I27" i="924"/>
  <c r="J26" i="924"/>
  <c r="I26" i="924"/>
  <c r="J21" i="924"/>
  <c r="I21" i="924"/>
  <c r="J20" i="924"/>
  <c r="I20" i="924"/>
  <c r="J19" i="924"/>
  <c r="I19" i="924"/>
  <c r="I18" i="924"/>
  <c r="J17" i="924"/>
  <c r="I17" i="924"/>
  <c r="J16" i="924"/>
  <c r="I16" i="924"/>
  <c r="J11" i="924"/>
  <c r="I11" i="924"/>
  <c r="J10" i="924"/>
  <c r="I10" i="924"/>
  <c r="J9" i="924"/>
  <c r="I9" i="924"/>
  <c r="I8" i="924"/>
  <c r="J7" i="924"/>
  <c r="I7" i="924"/>
  <c r="J6" i="924"/>
  <c r="I6" i="924"/>
  <c r="J51" i="923"/>
  <c r="I51" i="923"/>
  <c r="J50" i="923"/>
  <c r="I50" i="923"/>
  <c r="J49" i="923"/>
  <c r="I49" i="923"/>
  <c r="J48" i="923"/>
  <c r="I48" i="923"/>
  <c r="J47" i="923"/>
  <c r="I47" i="923"/>
  <c r="J46" i="923"/>
  <c r="I46" i="923"/>
  <c r="J41" i="923"/>
  <c r="I41" i="923"/>
  <c r="J40" i="923"/>
  <c r="I40" i="923"/>
  <c r="J39" i="923"/>
  <c r="I39" i="923"/>
  <c r="J38" i="923"/>
  <c r="I38" i="923"/>
  <c r="J37" i="923"/>
  <c r="I37" i="923"/>
  <c r="J36" i="923"/>
  <c r="I36" i="923"/>
  <c r="J31" i="923"/>
  <c r="I31" i="923"/>
  <c r="J30" i="923"/>
  <c r="I30" i="923"/>
  <c r="J29" i="923"/>
  <c r="I29" i="923"/>
  <c r="J28" i="923"/>
  <c r="I28" i="923"/>
  <c r="J27" i="923"/>
  <c r="I27" i="923"/>
  <c r="J26" i="923"/>
  <c r="I26" i="923"/>
  <c r="J21" i="923"/>
  <c r="I21" i="923"/>
  <c r="J20" i="923"/>
  <c r="I20" i="923"/>
  <c r="J19" i="923"/>
  <c r="I19" i="923"/>
  <c r="J18" i="923"/>
  <c r="I18" i="923"/>
  <c r="J17" i="923"/>
  <c r="I17" i="923"/>
  <c r="J16" i="923"/>
  <c r="I16" i="923"/>
  <c r="J11" i="923"/>
  <c r="I11" i="923"/>
  <c r="J10" i="923"/>
  <c r="I10" i="923"/>
  <c r="J9" i="923"/>
  <c r="I9" i="923"/>
  <c r="J8" i="923"/>
  <c r="I8" i="923"/>
  <c r="J7" i="923"/>
  <c r="I7" i="923"/>
  <c r="J6" i="923"/>
  <c r="I6" i="923"/>
  <c r="J45" i="922"/>
  <c r="I45" i="922"/>
  <c r="J44" i="922"/>
  <c r="I44" i="922"/>
  <c r="J36" i="922"/>
  <c r="I36" i="922"/>
  <c r="J35" i="922"/>
  <c r="I35" i="922"/>
  <c r="J27" i="922"/>
  <c r="I27" i="922"/>
  <c r="J26" i="922"/>
  <c r="I26" i="922"/>
  <c r="J18" i="922"/>
  <c r="I18" i="922"/>
  <c r="J17" i="922"/>
  <c r="J9" i="922"/>
  <c r="I9" i="922"/>
  <c r="J8" i="922"/>
  <c r="I8" i="922"/>
  <c r="J41" i="921"/>
  <c r="I41" i="921"/>
  <c r="J40" i="921"/>
  <c r="I40" i="921"/>
  <c r="I38" i="921"/>
  <c r="J33" i="921"/>
  <c r="I33" i="921"/>
  <c r="J32" i="921"/>
  <c r="I32" i="921"/>
  <c r="J25" i="921"/>
  <c r="I25" i="921"/>
  <c r="J24" i="921"/>
  <c r="I24" i="921"/>
  <c r="I22" i="921"/>
  <c r="J17" i="921"/>
  <c r="I17" i="921"/>
  <c r="J16" i="921"/>
  <c r="I16" i="921"/>
  <c r="J9" i="921"/>
  <c r="I9" i="921"/>
  <c r="J8" i="921"/>
  <c r="I8" i="921"/>
  <c r="J50" i="920"/>
  <c r="I50" i="920"/>
  <c r="J49" i="920"/>
  <c r="I49" i="920"/>
  <c r="J48" i="920"/>
  <c r="I48" i="920"/>
  <c r="J47" i="920"/>
  <c r="I47" i="920"/>
  <c r="J46" i="920"/>
  <c r="I46" i="920"/>
  <c r="J40" i="920"/>
  <c r="I40" i="920"/>
  <c r="J39" i="920"/>
  <c r="I39" i="920"/>
  <c r="J38" i="920"/>
  <c r="I38" i="920"/>
  <c r="J37" i="920"/>
  <c r="I37" i="920"/>
  <c r="J36" i="920"/>
  <c r="I36" i="920"/>
  <c r="J30" i="920"/>
  <c r="I30" i="920"/>
  <c r="J29" i="920"/>
  <c r="I29" i="920"/>
  <c r="J28" i="920"/>
  <c r="I28" i="920"/>
  <c r="J27" i="920"/>
  <c r="I27" i="920"/>
  <c r="I26" i="920"/>
  <c r="J20" i="920"/>
  <c r="I20" i="920"/>
  <c r="J19" i="920"/>
  <c r="I19" i="920"/>
  <c r="J18" i="920"/>
  <c r="I18" i="920"/>
  <c r="J17" i="920"/>
  <c r="I17" i="920"/>
  <c r="I16" i="920"/>
  <c r="J10" i="920"/>
  <c r="I10" i="920"/>
  <c r="J9" i="920"/>
  <c r="I9" i="920"/>
  <c r="J8" i="920"/>
  <c r="I8" i="920"/>
  <c r="J7" i="920"/>
  <c r="I7" i="920"/>
  <c r="J6" i="920"/>
  <c r="I6" i="920"/>
  <c r="J48" i="919"/>
  <c r="I48" i="919"/>
  <c r="J47" i="919"/>
  <c r="I47" i="919"/>
  <c r="J46" i="919"/>
  <c r="I46" i="919"/>
  <c r="J38" i="919"/>
  <c r="I38" i="919"/>
  <c r="J37" i="919"/>
  <c r="I37" i="919"/>
  <c r="J36" i="919"/>
  <c r="I36" i="919"/>
  <c r="J28" i="919"/>
  <c r="I28" i="919"/>
  <c r="J27" i="919"/>
  <c r="I27" i="919"/>
  <c r="J26" i="919"/>
  <c r="I26" i="919"/>
  <c r="J18" i="919"/>
  <c r="I18" i="919"/>
  <c r="J17" i="919"/>
  <c r="I17" i="919"/>
  <c r="J16" i="919"/>
  <c r="I16" i="919"/>
  <c r="J8" i="919"/>
  <c r="I8" i="919"/>
  <c r="J7" i="919"/>
  <c r="I7" i="919"/>
  <c r="J6" i="919"/>
  <c r="I6" i="919"/>
  <c r="J56" i="918"/>
  <c r="I56" i="918"/>
  <c r="J55" i="918"/>
  <c r="I55" i="918"/>
  <c r="J54" i="918"/>
  <c r="I54" i="918"/>
  <c r="J53" i="918"/>
  <c r="I53" i="918"/>
  <c r="J52" i="918"/>
  <c r="I52" i="918"/>
  <c r="J51" i="918"/>
  <c r="I51" i="918"/>
  <c r="J50" i="918"/>
  <c r="I50" i="918"/>
  <c r="J45" i="918"/>
  <c r="I45" i="918"/>
  <c r="J44" i="918"/>
  <c r="I44" i="918"/>
  <c r="J43" i="918"/>
  <c r="I43" i="918"/>
  <c r="J42" i="918"/>
  <c r="I42" i="918"/>
  <c r="J41" i="918"/>
  <c r="I41" i="918"/>
  <c r="J40" i="918"/>
  <c r="I40" i="918"/>
  <c r="J39" i="918"/>
  <c r="I39" i="918"/>
  <c r="J34" i="918"/>
  <c r="I34" i="918"/>
  <c r="J33" i="918"/>
  <c r="I33" i="918"/>
  <c r="J32" i="918"/>
  <c r="I32" i="918"/>
  <c r="J31" i="918"/>
  <c r="I31" i="918"/>
  <c r="J30" i="918"/>
  <c r="I30" i="918"/>
  <c r="J29" i="918"/>
  <c r="I29" i="918"/>
  <c r="J28" i="918"/>
  <c r="I28" i="918"/>
  <c r="J23" i="918"/>
  <c r="I23" i="918"/>
  <c r="J22" i="918"/>
  <c r="I22" i="918"/>
  <c r="J21" i="918"/>
  <c r="I21" i="918"/>
  <c r="J20" i="918"/>
  <c r="I20" i="918"/>
  <c r="J19" i="918"/>
  <c r="I19" i="918"/>
  <c r="J18" i="918"/>
  <c r="I18" i="918"/>
  <c r="J17" i="918"/>
  <c r="I17" i="918"/>
  <c r="J12" i="918"/>
  <c r="I12" i="918"/>
  <c r="J11" i="918"/>
  <c r="I11" i="918"/>
  <c r="J10" i="918"/>
  <c r="I10" i="918"/>
  <c r="J9" i="918"/>
  <c r="I9" i="918"/>
  <c r="J8" i="918"/>
  <c r="I8" i="918"/>
  <c r="J7" i="918"/>
  <c r="I7" i="918"/>
  <c r="J6" i="918"/>
  <c r="I6" i="918"/>
  <c r="J53" i="917"/>
  <c r="J52" i="917"/>
  <c r="J41" i="917"/>
  <c r="I12" i="917"/>
  <c r="I6" i="917"/>
  <c r="I24" i="917"/>
  <c r="I36" i="917"/>
  <c r="I48" i="917"/>
  <c r="I60" i="917"/>
  <c r="I54" i="917"/>
  <c r="J54" i="917"/>
  <c r="J60" i="917"/>
  <c r="J61" i="917"/>
  <c r="J49" i="917"/>
  <c r="J37" i="917"/>
  <c r="J29" i="917" s="1"/>
  <c r="J25" i="917"/>
  <c r="J17" i="917" s="1"/>
  <c r="J48" i="917"/>
  <c r="J42" i="917"/>
  <c r="J36" i="917"/>
  <c r="J30" i="917"/>
  <c r="J24" i="917"/>
  <c r="J18" i="917"/>
  <c r="J13" i="917"/>
  <c r="J12" i="917"/>
  <c r="J6" i="917"/>
  <c r="J46" i="917"/>
  <c r="J34" i="917"/>
  <c r="J22" i="917"/>
  <c r="J10" i="917"/>
  <c r="J59" i="917"/>
  <c r="I59" i="917"/>
  <c r="J58" i="917"/>
  <c r="I58" i="917"/>
  <c r="J57" i="917"/>
  <c r="I57" i="917"/>
  <c r="J56" i="917"/>
  <c r="I56" i="917"/>
  <c r="J55" i="917"/>
  <c r="I55" i="917"/>
  <c r="J47" i="917"/>
  <c r="J40" i="917" s="1"/>
  <c r="I47" i="917"/>
  <c r="I46" i="917"/>
  <c r="J45" i="917"/>
  <c r="I45" i="917"/>
  <c r="J44" i="917"/>
  <c r="I44" i="917"/>
  <c r="J43" i="917"/>
  <c r="I43" i="917"/>
  <c r="I42" i="917"/>
  <c r="J35" i="917"/>
  <c r="I35" i="917"/>
  <c r="I34" i="917"/>
  <c r="J33" i="917"/>
  <c r="I33" i="917"/>
  <c r="J32" i="917"/>
  <c r="J28" i="917" s="1"/>
  <c r="I32" i="917"/>
  <c r="J31" i="917"/>
  <c r="I31" i="917"/>
  <c r="I30" i="917"/>
  <c r="J23" i="917"/>
  <c r="I23" i="917"/>
  <c r="I22" i="917"/>
  <c r="J21" i="917"/>
  <c r="I21" i="917"/>
  <c r="J20" i="917"/>
  <c r="I20" i="917"/>
  <c r="J19" i="917"/>
  <c r="I19" i="917"/>
  <c r="I18" i="917"/>
  <c r="J11" i="917"/>
  <c r="I11" i="917"/>
  <c r="I10" i="917"/>
  <c r="J9" i="917"/>
  <c r="I9" i="917"/>
  <c r="J8" i="917"/>
  <c r="I8" i="917"/>
  <c r="J7" i="917"/>
  <c r="I7" i="917"/>
  <c r="J47" i="916"/>
  <c r="J45" i="916"/>
  <c r="J44" i="916"/>
  <c r="J38" i="916"/>
  <c r="J36" i="916"/>
  <c r="J35" i="916"/>
  <c r="J9" i="916"/>
  <c r="J8" i="916"/>
  <c r="J18" i="916"/>
  <c r="J17" i="916"/>
  <c r="J29" i="916"/>
  <c r="J43" i="916"/>
  <c r="J34" i="916"/>
  <c r="J25" i="916"/>
  <c r="J16" i="916"/>
  <c r="J7" i="916"/>
  <c r="I47" i="916"/>
  <c r="I46" i="916"/>
  <c r="I45" i="916"/>
  <c r="I44" i="916"/>
  <c r="I43" i="916"/>
  <c r="I38" i="916"/>
  <c r="I37" i="916"/>
  <c r="I36" i="916"/>
  <c r="I35" i="916"/>
  <c r="I34" i="916"/>
  <c r="I29" i="916"/>
  <c r="I28" i="916"/>
  <c r="I27" i="916"/>
  <c r="I26" i="916"/>
  <c r="I25" i="916"/>
  <c r="I20" i="916"/>
  <c r="I19" i="916"/>
  <c r="I18" i="916"/>
  <c r="I17" i="916"/>
  <c r="I16" i="916"/>
  <c r="I11" i="916"/>
  <c r="I10" i="916"/>
  <c r="I9" i="916"/>
  <c r="I8" i="916"/>
  <c r="I7" i="916"/>
  <c r="J40" i="915"/>
  <c r="I40" i="915"/>
  <c r="J39" i="915"/>
  <c r="I39" i="915"/>
  <c r="J38" i="915"/>
  <c r="I38" i="915"/>
  <c r="J32" i="915"/>
  <c r="I32" i="915"/>
  <c r="I31" i="915"/>
  <c r="J30" i="915"/>
  <c r="I30" i="915"/>
  <c r="J24" i="915"/>
  <c r="I24" i="915"/>
  <c r="I23" i="915"/>
  <c r="J22" i="915"/>
  <c r="I22" i="915"/>
  <c r="J16" i="915"/>
  <c r="I16" i="915"/>
  <c r="I15" i="915"/>
  <c r="J14" i="915"/>
  <c r="I14" i="915"/>
  <c r="J8" i="915"/>
  <c r="I8" i="915"/>
  <c r="I7" i="915"/>
  <c r="J6" i="915"/>
  <c r="I6" i="915"/>
  <c r="J40" i="914"/>
  <c r="I40" i="914"/>
  <c r="J39" i="914"/>
  <c r="I39" i="914"/>
  <c r="J38" i="914"/>
  <c r="I38" i="914"/>
  <c r="J32" i="914"/>
  <c r="I32" i="914"/>
  <c r="J31" i="914"/>
  <c r="I31" i="914"/>
  <c r="J30" i="914"/>
  <c r="I30" i="914"/>
  <c r="J24" i="914"/>
  <c r="I24" i="914"/>
  <c r="J23" i="914"/>
  <c r="I23" i="914"/>
  <c r="J22" i="914"/>
  <c r="I22" i="914"/>
  <c r="J16" i="914"/>
  <c r="I16" i="914"/>
  <c r="J15" i="914"/>
  <c r="I15" i="914"/>
  <c r="J14" i="914"/>
  <c r="I14" i="914"/>
  <c r="J8" i="914"/>
  <c r="I8" i="914"/>
  <c r="J7" i="914"/>
  <c r="I7" i="914"/>
  <c r="J6" i="914"/>
  <c r="I6" i="914"/>
  <c r="J16" i="917" l="1"/>
  <c r="J4" i="917"/>
  <c r="J5" i="917"/>
</calcChain>
</file>

<file path=xl/sharedStrings.xml><?xml version="1.0" encoding="utf-8"?>
<sst xmlns="http://schemas.openxmlformats.org/spreadsheetml/2006/main" count="2005" uniqueCount="193">
  <si>
    <t>日付</t>
  </si>
  <si>
    <t>出勤日数
/週</t>
  </si>
  <si>
    <t>小計</t>
  </si>
  <si>
    <t>曜日</t>
  </si>
  <si>
    <t>月</t>
  </si>
  <si>
    <t>火</t>
  </si>
  <si>
    <t>水</t>
  </si>
  <si>
    <t>木</t>
  </si>
  <si>
    <t>金</t>
  </si>
  <si>
    <t>土</t>
  </si>
  <si>
    <t>日</t>
  </si>
  <si>
    <t>Aイベント</t>
    <phoneticPr fontId="13"/>
  </si>
  <si>
    <t>Bイベント</t>
    <phoneticPr fontId="13"/>
  </si>
  <si>
    <t>藤浪</t>
    <rPh sb="0" eb="2">
      <t>フジナミ</t>
    </rPh>
    <phoneticPr fontId="13"/>
  </si>
  <si>
    <t>藤澤ⓒ</t>
    <rPh sb="0" eb="2">
      <t>フジサワ</t>
    </rPh>
    <phoneticPr fontId="13"/>
  </si>
  <si>
    <t>三浦</t>
    <rPh sb="0" eb="2">
      <t>ミウラ</t>
    </rPh>
    <phoneticPr fontId="13"/>
  </si>
  <si>
    <t>紅林</t>
    <rPh sb="0" eb="2">
      <t>クレバヤシ</t>
    </rPh>
    <phoneticPr fontId="13"/>
  </si>
  <si>
    <t>内</t>
    <rPh sb="0" eb="1">
      <t>ウチ</t>
    </rPh>
    <phoneticPr fontId="13"/>
  </si>
  <si>
    <t>9-14</t>
    <phoneticPr fontId="13"/>
  </si>
  <si>
    <t>14-19</t>
    <phoneticPr fontId="13"/>
  </si>
  <si>
    <t>9-15</t>
    <phoneticPr fontId="13"/>
  </si>
  <si>
    <t>9-13</t>
    <phoneticPr fontId="13"/>
  </si>
  <si>
    <t>10-15</t>
    <phoneticPr fontId="13"/>
  </si>
  <si>
    <t>16-19</t>
    <phoneticPr fontId="13"/>
  </si>
  <si>
    <t>10-14</t>
    <phoneticPr fontId="13"/>
  </si>
  <si>
    <t>　＊時間内で終わらなかった通常品・ロット外品のタグ付けは、交代のシフトスタッフに引き継いで下さい。</t>
    <rPh sb="2" eb="4">
      <t>ジカン</t>
    </rPh>
    <rPh sb="4" eb="5">
      <t>ナイ</t>
    </rPh>
    <rPh sb="6" eb="7">
      <t>オ</t>
    </rPh>
    <rPh sb="13" eb="16">
      <t>ツウジョウヒン</t>
    </rPh>
    <rPh sb="20" eb="21">
      <t>ガイ</t>
    </rPh>
    <rPh sb="21" eb="22">
      <t>ヒン</t>
    </rPh>
    <rPh sb="25" eb="26">
      <t>ツ</t>
    </rPh>
    <rPh sb="29" eb="31">
      <t>コウタイ</t>
    </rPh>
    <rPh sb="40" eb="41">
      <t>ヒ</t>
    </rPh>
    <rPh sb="42" eb="43">
      <t>ツ</t>
    </rPh>
    <rPh sb="45" eb="46">
      <t>クダ</t>
    </rPh>
    <phoneticPr fontId="13"/>
  </si>
  <si>
    <t>全店共有事項</t>
    <rPh sb="0" eb="2">
      <t>ゼンテン</t>
    </rPh>
    <rPh sb="2" eb="4">
      <t>キョウユウ</t>
    </rPh>
    <rPh sb="4" eb="6">
      <t>ジコウ</t>
    </rPh>
    <phoneticPr fontId="13"/>
  </si>
  <si>
    <t>　  　※特に複雑なロット外は、誰が見てもわかるように事前にメモを残し「○○がやります」は禁止です。</t>
    <rPh sb="5" eb="6">
      <t>トク</t>
    </rPh>
    <rPh sb="7" eb="9">
      <t>フクザツ</t>
    </rPh>
    <rPh sb="13" eb="14">
      <t>ソト</t>
    </rPh>
    <rPh sb="16" eb="17">
      <t>ダレ</t>
    </rPh>
    <rPh sb="18" eb="19">
      <t>ミ</t>
    </rPh>
    <rPh sb="27" eb="29">
      <t>ジゼン</t>
    </rPh>
    <rPh sb="33" eb="34">
      <t>ノコ</t>
    </rPh>
    <rPh sb="45" eb="47">
      <t>キンシ</t>
    </rPh>
    <phoneticPr fontId="13"/>
  </si>
  <si>
    <t>　　 また、閉店後の退勤時には「みわ店舗LINE」 に 【業務終了しました】 と載せて下さい。</t>
    <rPh sb="6" eb="8">
      <t>ヘイテン</t>
    </rPh>
    <rPh sb="8" eb="9">
      <t>ゴ</t>
    </rPh>
    <rPh sb="10" eb="13">
      <t>タイキンジ</t>
    </rPh>
    <rPh sb="18" eb="20">
      <t>テンポ</t>
    </rPh>
    <rPh sb="29" eb="31">
      <t>ギョウム</t>
    </rPh>
    <rPh sb="31" eb="33">
      <t>シュウリョウ</t>
    </rPh>
    <rPh sb="40" eb="41">
      <t>ノ</t>
    </rPh>
    <rPh sb="43" eb="44">
      <t>クダ</t>
    </rPh>
    <phoneticPr fontId="13"/>
  </si>
  <si>
    <t>勤務時間に対する休憩</t>
    <rPh sb="0" eb="2">
      <t>キンム</t>
    </rPh>
    <rPh sb="2" eb="4">
      <t>ジカン</t>
    </rPh>
    <rPh sb="5" eb="6">
      <t>タイ</t>
    </rPh>
    <rPh sb="8" eb="10">
      <t>キュウケイ</t>
    </rPh>
    <phoneticPr fontId="13"/>
  </si>
  <si>
    <t>酒寄ⓒ</t>
    <rPh sb="0" eb="2">
      <t>サカヨリ</t>
    </rPh>
    <phoneticPr fontId="13"/>
  </si>
  <si>
    <r>
      <t>紅林</t>
    </r>
    <r>
      <rPr>
        <sz val="8"/>
        <rFont val="ＭＳ Ｐゴシック"/>
        <family val="3"/>
        <charset val="128"/>
        <scheme val="minor"/>
      </rPr>
      <t>(本部)</t>
    </r>
    <rPh sb="0" eb="2">
      <t>クレバヤシ</t>
    </rPh>
    <rPh sb="3" eb="5">
      <t>ホンブ</t>
    </rPh>
    <phoneticPr fontId="13"/>
  </si>
  <si>
    <t>杉村</t>
    <rPh sb="0" eb="2">
      <t>スギムラ</t>
    </rPh>
    <phoneticPr fontId="13"/>
  </si>
  <si>
    <t>9-12,16-19</t>
    <phoneticPr fontId="13"/>
  </si>
  <si>
    <t>新田店</t>
    <rPh sb="0" eb="2">
      <t>シンデン</t>
    </rPh>
    <rPh sb="2" eb="3">
      <t>テン</t>
    </rPh>
    <phoneticPr fontId="13"/>
  </si>
  <si>
    <t>本店・シミ抜き担当</t>
    <rPh sb="0" eb="2">
      <t>ホンテン</t>
    </rPh>
    <rPh sb="5" eb="6">
      <t>ヌ</t>
    </rPh>
    <rPh sb="7" eb="9">
      <t>タントウ</t>
    </rPh>
    <phoneticPr fontId="13"/>
  </si>
  <si>
    <t>伊勢</t>
  </si>
  <si>
    <t>西友蒲生伊原店</t>
    <rPh sb="0" eb="2">
      <t>セイユウ</t>
    </rPh>
    <rPh sb="2" eb="4">
      <t>ガモウ</t>
    </rPh>
    <rPh sb="6" eb="7">
      <t>テン</t>
    </rPh>
    <phoneticPr fontId="13"/>
  </si>
  <si>
    <t>森生</t>
  </si>
  <si>
    <t>古川</t>
  </si>
  <si>
    <t>佐々木</t>
  </si>
  <si>
    <t>蒲生店</t>
  </si>
  <si>
    <t>草加西口店</t>
    <rPh sb="0" eb="2">
      <t>ソウカ</t>
    </rPh>
    <rPh sb="2" eb="4">
      <t>ニシグチ</t>
    </rPh>
    <rPh sb="4" eb="5">
      <t>テン</t>
    </rPh>
    <phoneticPr fontId="13"/>
  </si>
  <si>
    <t>13-19</t>
    <phoneticPr fontId="13"/>
  </si>
  <si>
    <t>小山</t>
    <rPh sb="0" eb="2">
      <t>コヤマ</t>
    </rPh>
    <phoneticPr fontId="13"/>
  </si>
  <si>
    <t>手島</t>
    <rPh sb="0" eb="2">
      <t>テシマ</t>
    </rPh>
    <phoneticPr fontId="13"/>
  </si>
  <si>
    <t>モールプラザ草加店</t>
    <rPh sb="6" eb="8">
      <t>ソウカ</t>
    </rPh>
    <rPh sb="8" eb="9">
      <t>テン</t>
    </rPh>
    <phoneticPr fontId="13"/>
  </si>
  <si>
    <t>新田14-19</t>
    <rPh sb="0" eb="2">
      <t>シンデン</t>
    </rPh>
    <phoneticPr fontId="13"/>
  </si>
  <si>
    <t>新田9-14</t>
    <rPh sb="0" eb="2">
      <t>シンデン</t>
    </rPh>
    <phoneticPr fontId="13"/>
  </si>
  <si>
    <t>9-16</t>
    <phoneticPr fontId="13"/>
  </si>
  <si>
    <t>10%セール</t>
    <phoneticPr fontId="13"/>
  </si>
  <si>
    <t>鈴木</t>
    <phoneticPr fontId="13"/>
  </si>
  <si>
    <t>藤井</t>
    <rPh sb="0" eb="2">
      <t>フジイ</t>
    </rPh>
    <phoneticPr fontId="13"/>
  </si>
  <si>
    <t>HELP</t>
    <phoneticPr fontId="13"/>
  </si>
  <si>
    <t>9-17</t>
    <phoneticPr fontId="13"/>
  </si>
  <si>
    <t>15-19</t>
    <phoneticPr fontId="13"/>
  </si>
  <si>
    <t>最新版</t>
    <rPh sb="0" eb="3">
      <t>サイシンバン</t>
    </rPh>
    <phoneticPr fontId="13"/>
  </si>
  <si>
    <t>中嶋</t>
    <rPh sb="0" eb="2">
      <t>ナカジマ</t>
    </rPh>
    <phoneticPr fontId="13"/>
  </si>
  <si>
    <t>9-12</t>
    <phoneticPr fontId="13"/>
  </si>
  <si>
    <t>加藤</t>
    <phoneticPr fontId="13"/>
  </si>
  <si>
    <t>12-19</t>
    <phoneticPr fontId="13"/>
  </si>
  <si>
    <t>9-19</t>
    <phoneticPr fontId="13"/>
  </si>
  <si>
    <t>草加9-14</t>
    <rPh sb="0" eb="2">
      <t>ソウカ</t>
    </rPh>
    <phoneticPr fontId="13"/>
  </si>
  <si>
    <t xml:space="preserve"> ◆4時間59分まで …なし</t>
    <rPh sb="3" eb="5">
      <t>ジカン</t>
    </rPh>
    <rPh sb="7" eb="8">
      <t>フン</t>
    </rPh>
    <phoneticPr fontId="13"/>
  </si>
  <si>
    <t xml:space="preserve"> ◆5時間00分以上 …30分</t>
    <rPh sb="3" eb="5">
      <t>ジカン</t>
    </rPh>
    <rPh sb="7" eb="8">
      <t>フン</t>
    </rPh>
    <rPh sb="8" eb="10">
      <t>イジョウ</t>
    </rPh>
    <rPh sb="14" eb="15">
      <t>フン</t>
    </rPh>
    <phoneticPr fontId="13"/>
  </si>
  <si>
    <t xml:space="preserve"> ◆6時間01分以上 …45分</t>
    <rPh sb="3" eb="5">
      <t>ジカン</t>
    </rPh>
    <rPh sb="7" eb="8">
      <t>フン</t>
    </rPh>
    <rPh sb="8" eb="10">
      <t>イジョウ</t>
    </rPh>
    <rPh sb="14" eb="15">
      <t>フン</t>
    </rPh>
    <phoneticPr fontId="13"/>
  </si>
  <si>
    <t xml:space="preserve"> ◆8時間01分以上 …60分</t>
    <rPh sb="3" eb="5">
      <t>ジカン</t>
    </rPh>
    <rPh sb="7" eb="8">
      <t>フン</t>
    </rPh>
    <rPh sb="8" eb="10">
      <t>イジョウ</t>
    </rPh>
    <rPh sb="14" eb="15">
      <t>フン</t>
    </rPh>
    <phoneticPr fontId="13"/>
  </si>
  <si>
    <t>　＊勤務許可  ◆開店を伴うシフト・・・始業「8:50」より、終業「14:10」まで(※シフト時間後10分まで)</t>
    <rPh sb="2" eb="4">
      <t>キンム</t>
    </rPh>
    <rPh sb="4" eb="6">
      <t>キョカ</t>
    </rPh>
    <rPh sb="9" eb="11">
      <t>カイテン</t>
    </rPh>
    <rPh sb="12" eb="13">
      <t>トモナ</t>
    </rPh>
    <rPh sb="20" eb="22">
      <t>シギョウ</t>
    </rPh>
    <rPh sb="31" eb="33">
      <t>シュウギョウ</t>
    </rPh>
    <rPh sb="47" eb="49">
      <t>ジカン</t>
    </rPh>
    <rPh sb="49" eb="50">
      <t>ゴ</t>
    </rPh>
    <rPh sb="52" eb="53">
      <t>フン</t>
    </rPh>
    <phoneticPr fontId="13"/>
  </si>
  <si>
    <t>　　　　　　  ◆閉店を伴うシフト・・・始業「14:00」より(※シフト開始時間より)、終業「19:10」まで</t>
    <rPh sb="9" eb="11">
      <t>ヘイテン</t>
    </rPh>
    <rPh sb="12" eb="13">
      <t>トモナ</t>
    </rPh>
    <rPh sb="20" eb="22">
      <t>シギョウ</t>
    </rPh>
    <rPh sb="36" eb="38">
      <t>カイシ</t>
    </rPh>
    <rPh sb="38" eb="40">
      <t>ジカン</t>
    </rPh>
    <rPh sb="44" eb="46">
      <t>シュウギョウ</t>
    </rPh>
    <phoneticPr fontId="13"/>
  </si>
  <si>
    <t>　＊トラブル防止のため、退勤のタイムカードを押した後は速やかに退店をして下さい。</t>
    <rPh sb="6" eb="8">
      <t>ボウシ</t>
    </rPh>
    <rPh sb="12" eb="14">
      <t>タイキン</t>
    </rPh>
    <rPh sb="22" eb="23">
      <t>オ</t>
    </rPh>
    <rPh sb="25" eb="26">
      <t>アト</t>
    </rPh>
    <rPh sb="27" eb="28">
      <t>スミ</t>
    </rPh>
    <rPh sb="31" eb="33">
      <t>タイテン</t>
    </rPh>
    <rPh sb="36" eb="37">
      <t>クダ</t>
    </rPh>
    <phoneticPr fontId="13"/>
  </si>
  <si>
    <t>　＊事故やトラブルが発生した場合には、統括まで連絡をお願いします。【統括】080-3523-6251</t>
    <rPh sb="2" eb="4">
      <t>ジコ</t>
    </rPh>
    <rPh sb="10" eb="12">
      <t>ハッセイ</t>
    </rPh>
    <rPh sb="14" eb="16">
      <t>バアイ</t>
    </rPh>
    <rPh sb="19" eb="21">
      <t>トウカツ</t>
    </rPh>
    <rPh sb="23" eb="25">
      <t>レンラク</t>
    </rPh>
    <rPh sb="27" eb="28">
      <t>ネガ</t>
    </rPh>
    <rPh sb="34" eb="36">
      <t>トウカツ</t>
    </rPh>
    <phoneticPr fontId="13"/>
  </si>
  <si>
    <t>　＊事故やトラブルが発生した場合には、チーフもしくは統括まで連絡をお願いします。</t>
    <rPh sb="2" eb="4">
      <t>ジコ</t>
    </rPh>
    <rPh sb="10" eb="12">
      <t>ハッセイ</t>
    </rPh>
    <rPh sb="14" eb="16">
      <t>バアイ</t>
    </rPh>
    <rPh sb="26" eb="28">
      <t>トウカツ</t>
    </rPh>
    <rPh sb="30" eb="32">
      <t>レンラク</t>
    </rPh>
    <rPh sb="34" eb="35">
      <t>ネガ</t>
    </rPh>
    <phoneticPr fontId="13"/>
  </si>
  <si>
    <t>林</t>
    <rPh sb="0" eb="1">
      <t>ハヤシ</t>
    </rPh>
    <phoneticPr fontId="13"/>
  </si>
  <si>
    <t>阿部</t>
    <rPh sb="0" eb="2">
      <t>アベ</t>
    </rPh>
    <phoneticPr fontId="13"/>
  </si>
  <si>
    <t>　＊事故やトラブルが発生した場合には、中村智佳子もしくは統括まで連絡をお願いします。</t>
    <rPh sb="2" eb="4">
      <t>ジコ</t>
    </rPh>
    <rPh sb="10" eb="12">
      <t>ハッセイ</t>
    </rPh>
    <rPh sb="14" eb="16">
      <t>バアイ</t>
    </rPh>
    <rPh sb="19" eb="21">
      <t>ナカムラ</t>
    </rPh>
    <rPh sb="21" eb="22">
      <t>トモ</t>
    </rPh>
    <rPh sb="22" eb="24">
      <t>ヨシコ</t>
    </rPh>
    <rPh sb="28" eb="30">
      <t>トウカツ</t>
    </rPh>
    <rPh sb="32" eb="34">
      <t>レンラク</t>
    </rPh>
    <rPh sb="36" eb="37">
      <t>ネガ</t>
    </rPh>
    <phoneticPr fontId="13"/>
  </si>
  <si>
    <t>長岡©</t>
    <rPh sb="0" eb="2">
      <t>ナガオカ</t>
    </rPh>
    <phoneticPr fontId="13"/>
  </si>
  <si>
    <t>佐々木</t>
    <rPh sb="0" eb="3">
      <t>ササキ</t>
    </rPh>
    <phoneticPr fontId="13"/>
  </si>
  <si>
    <t>東川口２号店</t>
    <rPh sb="0" eb="1">
      <t>ヒガシ</t>
    </rPh>
    <rPh sb="1" eb="3">
      <t>カワグチ</t>
    </rPh>
    <rPh sb="4" eb="5">
      <t>ゴウ</t>
    </rPh>
    <rPh sb="5" eb="6">
      <t>ミセ</t>
    </rPh>
    <phoneticPr fontId="13"/>
  </si>
  <si>
    <t>東川口店</t>
    <rPh sb="0" eb="1">
      <t>ヒガシ</t>
    </rPh>
    <rPh sb="1" eb="3">
      <t>カワグチ</t>
    </rPh>
    <rPh sb="3" eb="4">
      <t>ミセ</t>
    </rPh>
    <phoneticPr fontId="13"/>
  </si>
  <si>
    <t>細谷©</t>
    <rPh sb="0" eb="2">
      <t>ホソヤ</t>
    </rPh>
    <phoneticPr fontId="13"/>
  </si>
  <si>
    <t>河村</t>
    <rPh sb="0" eb="2">
      <t>カワムラ</t>
    </rPh>
    <phoneticPr fontId="13"/>
  </si>
  <si>
    <t>杉浦</t>
    <rPh sb="0" eb="2">
      <t>スギウラ</t>
    </rPh>
    <phoneticPr fontId="13"/>
  </si>
  <si>
    <t>12-16</t>
    <phoneticPr fontId="13"/>
  </si>
  <si>
    <t>山本</t>
    <rPh sb="0" eb="2">
      <t>ヤマモト</t>
    </rPh>
    <phoneticPr fontId="13"/>
  </si>
  <si>
    <t>沖田</t>
    <rPh sb="0" eb="2">
      <t>オキタ</t>
    </rPh>
    <phoneticPr fontId="13"/>
  </si>
  <si>
    <t>八潮工場</t>
  </si>
  <si>
    <t>Bシフト</t>
    <phoneticPr fontId="13"/>
  </si>
  <si>
    <t>八潮R</t>
  </si>
  <si>
    <t>杉崎</t>
  </si>
  <si>
    <t>9-15</t>
  </si>
  <si>
    <t>9-17</t>
  </si>
  <si>
    <t>黒倉</t>
  </si>
  <si>
    <t>森川</t>
    <rPh sb="0" eb="2">
      <t>モリカワ</t>
    </rPh>
    <phoneticPr fontId="13"/>
  </si>
  <si>
    <t>8:30-</t>
    <phoneticPr fontId="13"/>
  </si>
  <si>
    <t>Aシフト</t>
    <phoneticPr fontId="13"/>
  </si>
  <si>
    <t>勤務時間に対する休憩</t>
  </si>
  <si>
    <t>　＊トラブル防止のため、退勤のタイムカードを押した後は速やかに退店をして下さい</t>
    <rPh sb="27" eb="28">
      <t>スミ</t>
    </rPh>
    <phoneticPr fontId="13"/>
  </si>
  <si>
    <t xml:space="preserve"> ◆6時間01分以上 …45分</t>
    <rPh sb="8" eb="10">
      <t>イジョウ</t>
    </rPh>
    <phoneticPr fontId="13"/>
  </si>
  <si>
    <t>東川口工場</t>
  </si>
  <si>
    <t>神原©</t>
    <phoneticPr fontId="13"/>
  </si>
  <si>
    <t>澤田</t>
  </si>
  <si>
    <t>細谷</t>
  </si>
  <si>
    <t>受付9-17</t>
    <rPh sb="0" eb="2">
      <t>ウケツケ</t>
    </rPh>
    <phoneticPr fontId="13"/>
  </si>
  <si>
    <t xml:space="preserve"> 　◆4時間59分まで …なし</t>
    <phoneticPr fontId="13"/>
  </si>
  <si>
    <t xml:space="preserve"> 　◆5時間00分以上 …30分</t>
    <rPh sb="8" eb="9">
      <t>フン</t>
    </rPh>
    <rPh sb="9" eb="11">
      <t>イジョウ</t>
    </rPh>
    <phoneticPr fontId="13"/>
  </si>
  <si>
    <t xml:space="preserve"> ◆8時間01分以上 …60分</t>
    <rPh sb="8" eb="10">
      <t>イジョウ</t>
    </rPh>
    <phoneticPr fontId="13"/>
  </si>
  <si>
    <t>ルート</t>
  </si>
  <si>
    <t>大場</t>
  </si>
  <si>
    <t>Y 10-17</t>
    <phoneticPr fontId="13"/>
  </si>
  <si>
    <t>田口</t>
  </si>
  <si>
    <t>露木</t>
  </si>
  <si>
    <t>受付9-14</t>
    <rPh sb="0" eb="2">
      <t>ウケツケ</t>
    </rPh>
    <phoneticPr fontId="13"/>
  </si>
  <si>
    <t>佐々木17-19</t>
    <rPh sb="0" eb="3">
      <t>ササキ</t>
    </rPh>
    <phoneticPr fontId="13"/>
  </si>
  <si>
    <t>11-19</t>
    <phoneticPr fontId="13"/>
  </si>
  <si>
    <t>草加 14-19</t>
    <rPh sb="0" eb="2">
      <t>ソウカ</t>
    </rPh>
    <phoneticPr fontId="13"/>
  </si>
  <si>
    <t>マミーマート川口安行店</t>
    <rPh sb="6" eb="8">
      <t>カワグチ</t>
    </rPh>
    <rPh sb="8" eb="10">
      <t>アンギョウ</t>
    </rPh>
    <rPh sb="10" eb="11">
      <t>ミセ</t>
    </rPh>
    <phoneticPr fontId="13"/>
  </si>
  <si>
    <t>原科</t>
    <rPh sb="0" eb="2">
      <t>ハラシナ</t>
    </rPh>
    <phoneticPr fontId="13"/>
  </si>
  <si>
    <t>佐々木14-19</t>
    <rPh sb="0" eb="3">
      <t>ササキ</t>
    </rPh>
    <phoneticPr fontId="13"/>
  </si>
  <si>
    <t>9-11・14-19</t>
    <phoneticPr fontId="13"/>
  </si>
  <si>
    <t>梶原</t>
    <rPh sb="0" eb="2">
      <t>カジハラ</t>
    </rPh>
    <phoneticPr fontId="13"/>
  </si>
  <si>
    <t>近藤14-19</t>
    <rPh sb="0" eb="2">
      <t>コンドウ</t>
    </rPh>
    <phoneticPr fontId="13"/>
  </si>
  <si>
    <t>　＊事故やトラブルが発生した場合にはチーフまたは統括まで連絡をお願いします</t>
  </si>
  <si>
    <t xml:space="preserve"> ◆4時間59分まで …なし　◆6時間01分以上 …45分</t>
    <rPh sb="17" eb="19">
      <t>ジカン</t>
    </rPh>
    <rPh sb="21" eb="22">
      <t>フン</t>
    </rPh>
    <rPh sb="22" eb="24">
      <t>イジョウ</t>
    </rPh>
    <rPh sb="28" eb="29">
      <t>フン</t>
    </rPh>
    <phoneticPr fontId="13"/>
  </si>
  <si>
    <t xml:space="preserve"> ◆5時間00分以上 …30分　◆8時間01分以上 …60分</t>
    <rPh sb="7" eb="8">
      <t>フン</t>
    </rPh>
    <rPh sb="8" eb="10">
      <t>イジョウ</t>
    </rPh>
    <rPh sb="18" eb="20">
      <t>ジカン</t>
    </rPh>
    <rPh sb="22" eb="23">
      <t>フン</t>
    </rPh>
    <rPh sb="23" eb="25">
      <t>イジョウ</t>
    </rPh>
    <rPh sb="29" eb="30">
      <t>フン</t>
    </rPh>
    <phoneticPr fontId="13"/>
  </si>
  <si>
    <t>　＊工場の勤務許可時間は「勤務開始５分前より」「勤務終了は現場指示」となります</t>
    <rPh sb="2" eb="4">
      <t>コウジョウ</t>
    </rPh>
    <rPh sb="5" eb="7">
      <t>キンム</t>
    </rPh>
    <rPh sb="7" eb="9">
      <t>キョカ</t>
    </rPh>
    <rPh sb="9" eb="11">
      <t>ジカン</t>
    </rPh>
    <rPh sb="13" eb="15">
      <t>キンム</t>
    </rPh>
    <rPh sb="15" eb="17">
      <t>カイシ</t>
    </rPh>
    <rPh sb="18" eb="19">
      <t>フン</t>
    </rPh>
    <rPh sb="19" eb="20">
      <t>マエ</t>
    </rPh>
    <rPh sb="24" eb="26">
      <t>キンム</t>
    </rPh>
    <rPh sb="26" eb="28">
      <t>シュウリョウ</t>
    </rPh>
    <rPh sb="29" eb="31">
      <t>ゲンバ</t>
    </rPh>
    <rPh sb="31" eb="33">
      <t>シジ</t>
    </rPh>
    <phoneticPr fontId="13"/>
  </si>
  <si>
    <t>河野</t>
    <rPh sb="0" eb="2">
      <t>カワノ</t>
    </rPh>
    <phoneticPr fontId="13"/>
  </si>
  <si>
    <t>佐々木9-16</t>
    <rPh sb="0" eb="3">
      <t>ササキ</t>
    </rPh>
    <phoneticPr fontId="13"/>
  </si>
  <si>
    <t>9-</t>
    <phoneticPr fontId="13"/>
  </si>
  <si>
    <t>佐々木9-12</t>
    <rPh sb="0" eb="3">
      <t>ササキ</t>
    </rPh>
    <phoneticPr fontId="13"/>
  </si>
  <si>
    <t>藤田</t>
    <rPh sb="0" eb="2">
      <t>フジタ</t>
    </rPh>
    <phoneticPr fontId="13"/>
  </si>
  <si>
    <t>草加 9-11</t>
    <rPh sb="0" eb="2">
      <t>ソウカ</t>
    </rPh>
    <phoneticPr fontId="13"/>
  </si>
  <si>
    <t>10-</t>
    <phoneticPr fontId="13"/>
  </si>
  <si>
    <t>草加 9-12</t>
    <rPh sb="0" eb="2">
      <t>ソウカ</t>
    </rPh>
    <phoneticPr fontId="13"/>
  </si>
  <si>
    <t>片岸</t>
    <rPh sb="0" eb="2">
      <t>カタギシ</t>
    </rPh>
    <phoneticPr fontId="13"/>
  </si>
  <si>
    <t>集配</t>
    <rPh sb="0" eb="2">
      <t>シュウハイ</t>
    </rPh>
    <phoneticPr fontId="13"/>
  </si>
  <si>
    <t>東9-14</t>
    <rPh sb="0" eb="1">
      <t>ヒガシ</t>
    </rPh>
    <phoneticPr fontId="13"/>
  </si>
  <si>
    <t>ﾏ安9-14</t>
    <rPh sb="1" eb="2">
      <t>アン</t>
    </rPh>
    <phoneticPr fontId="13"/>
  </si>
  <si>
    <t>和泉</t>
    <rPh sb="0" eb="2">
      <t>イズミ</t>
    </rPh>
    <phoneticPr fontId="13"/>
  </si>
  <si>
    <t>川本</t>
    <rPh sb="0" eb="2">
      <t>カワモト</t>
    </rPh>
    <phoneticPr fontId="13"/>
  </si>
  <si>
    <r>
      <t>河村</t>
    </r>
    <r>
      <rPr>
        <sz val="8"/>
        <rFont val="ＭＳ Ｐゴシック"/>
        <family val="3"/>
        <charset val="128"/>
        <scheme val="minor"/>
      </rPr>
      <t xml:space="preserve"> (h)</t>
    </r>
    <rPh sb="0" eb="2">
      <t>カワムラ</t>
    </rPh>
    <phoneticPr fontId="13"/>
  </si>
  <si>
    <t>Y 10:30-17</t>
    <phoneticPr fontId="13"/>
  </si>
  <si>
    <t>HELP  D 10:30-17</t>
    <phoneticPr fontId="13"/>
  </si>
  <si>
    <t>HELP  Y 10:30-17</t>
    <phoneticPr fontId="13"/>
  </si>
  <si>
    <t>12-17</t>
    <phoneticPr fontId="13"/>
  </si>
  <si>
    <t>臼井</t>
    <rPh sb="0" eb="2">
      <t>ウスイ</t>
    </rPh>
    <phoneticPr fontId="13"/>
  </si>
  <si>
    <t>山家</t>
    <rPh sb="0" eb="1">
      <t>ヤマ</t>
    </rPh>
    <rPh sb="1" eb="2">
      <t>イエ</t>
    </rPh>
    <phoneticPr fontId="13"/>
  </si>
  <si>
    <t>佐々木9-19</t>
    <rPh sb="0" eb="3">
      <t>ササキ</t>
    </rPh>
    <phoneticPr fontId="13"/>
  </si>
  <si>
    <t>キラン</t>
    <phoneticPr fontId="13"/>
  </si>
  <si>
    <t>李</t>
    <rPh sb="0" eb="1">
      <t>リ</t>
    </rPh>
    <phoneticPr fontId="13"/>
  </si>
  <si>
    <t>受9-/Y10-</t>
    <rPh sb="0" eb="1">
      <t>ウ</t>
    </rPh>
    <phoneticPr fontId="13"/>
  </si>
  <si>
    <t>受付9-/事務</t>
    <rPh sb="0" eb="2">
      <t>ウケツケ</t>
    </rPh>
    <rPh sb="5" eb="7">
      <t>ジム</t>
    </rPh>
    <phoneticPr fontId="13"/>
  </si>
  <si>
    <t>深海</t>
    <rPh sb="0" eb="2">
      <t>フカウミ</t>
    </rPh>
    <phoneticPr fontId="13"/>
  </si>
  <si>
    <t>牛山</t>
    <rPh sb="0" eb="2">
      <t>ウシヤマ</t>
    </rPh>
    <phoneticPr fontId="13"/>
  </si>
  <si>
    <t>※土日のシフトは空きが出ないようできる限り店内スタッフで調整をお願いします</t>
    <rPh sb="1" eb="3">
      <t>ドニチ</t>
    </rPh>
    <rPh sb="8" eb="9">
      <t>ア</t>
    </rPh>
    <rPh sb="11" eb="12">
      <t>デ</t>
    </rPh>
    <rPh sb="19" eb="20">
      <t>カギ</t>
    </rPh>
    <rPh sb="21" eb="23">
      <t>テンナイ</t>
    </rPh>
    <rPh sb="28" eb="30">
      <t>チョウセイ</t>
    </rPh>
    <rPh sb="32" eb="33">
      <t>ネガ</t>
    </rPh>
    <phoneticPr fontId="13"/>
  </si>
  <si>
    <t>藤井9-14</t>
    <phoneticPr fontId="13"/>
  </si>
  <si>
    <t>近藤©</t>
    <rPh sb="0" eb="2">
      <t>コンドウ</t>
    </rPh>
    <phoneticPr fontId="13"/>
  </si>
  <si>
    <t>近藤9-11</t>
    <rPh sb="0" eb="2">
      <t>コンドウ</t>
    </rPh>
    <phoneticPr fontId="13"/>
  </si>
  <si>
    <t>寺尾Ｍ</t>
    <rPh sb="0" eb="2">
      <t>テラオ</t>
    </rPh>
    <phoneticPr fontId="13"/>
  </si>
  <si>
    <t>露木 (ｈ)</t>
    <rPh sb="0" eb="2">
      <t>ツユキ</t>
    </rPh>
    <phoneticPr fontId="13"/>
  </si>
  <si>
    <t>近藤9-12</t>
    <rPh sb="0" eb="2">
      <t>コンドウ</t>
    </rPh>
    <phoneticPr fontId="13"/>
  </si>
  <si>
    <t>(14-19)</t>
    <phoneticPr fontId="13"/>
  </si>
  <si>
    <t>押田</t>
    <rPh sb="0" eb="2">
      <t>オシダ</t>
    </rPh>
    <phoneticPr fontId="13"/>
  </si>
  <si>
    <r>
      <t>木戸</t>
    </r>
    <r>
      <rPr>
        <sz val="8"/>
        <color rgb="FF0070C0"/>
        <rFont val="ＭＳ Ｐゴシック"/>
        <family val="3"/>
        <charset val="128"/>
        <scheme val="minor"/>
      </rPr>
      <t xml:space="preserve"> 研修</t>
    </r>
    <rPh sb="0" eb="2">
      <t>キド</t>
    </rPh>
    <rPh sb="3" eb="5">
      <t>ケンシュウ</t>
    </rPh>
    <phoneticPr fontId="13"/>
  </si>
  <si>
    <t>鈴木</t>
    <rPh sb="0" eb="2">
      <t>スズキ</t>
    </rPh>
    <phoneticPr fontId="13"/>
  </si>
  <si>
    <t>D 10:45-17</t>
    <phoneticPr fontId="13"/>
  </si>
  <si>
    <t>統括14-19</t>
    <rPh sb="0" eb="2">
      <t>トウカツ</t>
    </rPh>
    <phoneticPr fontId="13"/>
  </si>
  <si>
    <t>内9-14</t>
    <rPh sb="0" eb="1">
      <t>ウチ</t>
    </rPh>
    <phoneticPr fontId="13"/>
  </si>
  <si>
    <t>2026年6月1日～6月30日分</t>
    <rPh sb="4" eb="5">
      <t>ネン</t>
    </rPh>
    <rPh sb="6" eb="7">
      <t>ガツ</t>
    </rPh>
    <rPh sb="8" eb="9">
      <t>ヒ</t>
    </rPh>
    <rPh sb="11" eb="12">
      <t>ガツ</t>
    </rPh>
    <rPh sb="14" eb="15">
      <t>ヒ</t>
    </rPh>
    <rPh sb="15" eb="16">
      <t>ブン</t>
    </rPh>
    <phoneticPr fontId="13"/>
  </si>
  <si>
    <r>
      <t>齋藤</t>
    </r>
    <r>
      <rPr>
        <sz val="8"/>
        <color rgb="FF0070C0"/>
        <rFont val="ＭＳ Ｐゴシック"/>
        <family val="3"/>
        <charset val="128"/>
        <scheme val="minor"/>
      </rPr>
      <t xml:space="preserve"> 研修</t>
    </r>
    <rPh sb="0" eb="2">
      <t>サイトウ</t>
    </rPh>
    <rPh sb="3" eb="5">
      <t>ケンシュウ</t>
    </rPh>
    <phoneticPr fontId="13"/>
  </si>
  <si>
    <t>休憩取得時間帯 目安</t>
    <rPh sb="0" eb="2">
      <t>キュウケイ</t>
    </rPh>
    <rPh sb="2" eb="4">
      <t>シュトク</t>
    </rPh>
    <rPh sb="4" eb="7">
      <t>ジカンタイ</t>
    </rPh>
    <rPh sb="8" eb="10">
      <t>メヤス</t>
    </rPh>
    <phoneticPr fontId="13"/>
  </si>
  <si>
    <t>　＊休憩は原則左記の時間帯で取得してください。(２人体制の場合は時間内で交代)</t>
    <rPh sb="2" eb="4">
      <t>キュウケイ</t>
    </rPh>
    <rPh sb="5" eb="7">
      <t>ゲンソク</t>
    </rPh>
    <rPh sb="7" eb="9">
      <t>サキ</t>
    </rPh>
    <rPh sb="10" eb="13">
      <t>ジカンタイ</t>
    </rPh>
    <rPh sb="14" eb="16">
      <t>シュトク</t>
    </rPh>
    <rPh sb="25" eb="26">
      <t>ヒト</t>
    </rPh>
    <rPh sb="26" eb="28">
      <t>タイセイ</t>
    </rPh>
    <rPh sb="29" eb="31">
      <t>バアイ</t>
    </rPh>
    <rPh sb="32" eb="34">
      <t>ジカン</t>
    </rPh>
    <rPh sb="34" eb="35">
      <t>ナイ</t>
    </rPh>
    <rPh sb="36" eb="38">
      <t>コウタイ</t>
    </rPh>
    <phoneticPr fontId="13"/>
  </si>
  <si>
    <t>①9-14 ・・11:30～12:30
②14-19 ・・16:00～17:00
③11(12)-19・・14:00～15:00</t>
    <phoneticPr fontId="13"/>
  </si>
  <si>
    <t>①9-14 ・・11:30～12:30
②14-19 ・・16:00～17:00</t>
    <phoneticPr fontId="13"/>
  </si>
  <si>
    <t>13-18</t>
    <phoneticPr fontId="13"/>
  </si>
  <si>
    <t>勤務時間 小計</t>
    <rPh sb="0" eb="2">
      <t>キンム</t>
    </rPh>
    <rPh sb="2" eb="4">
      <t>ジカン</t>
    </rPh>
    <rPh sb="5" eb="7">
      <t>ショウケイ</t>
    </rPh>
    <phoneticPr fontId="13"/>
  </si>
  <si>
    <t>社員</t>
    <rPh sb="0" eb="2">
      <t>シャイン</t>
    </rPh>
    <phoneticPr fontId="13"/>
  </si>
  <si>
    <t>ﾊﾟｰﾄﾅｰ</t>
    <phoneticPr fontId="13"/>
  </si>
  <si>
    <t>2026.5.24</t>
    <phoneticPr fontId="13"/>
  </si>
  <si>
    <t>10-13･17-19</t>
    <phoneticPr fontId="13"/>
  </si>
  <si>
    <t>9-13・17-19</t>
    <phoneticPr fontId="13"/>
  </si>
  <si>
    <t>2026.5.29</t>
    <phoneticPr fontId="13"/>
  </si>
  <si>
    <t>佐々木9-11</t>
    <rPh sb="0" eb="3">
      <t>ササキ</t>
    </rPh>
    <phoneticPr fontId="13"/>
  </si>
  <si>
    <t>本部 夕方</t>
    <rPh sb="0" eb="2">
      <t>ホンブ</t>
    </rPh>
    <rPh sb="3" eb="5">
      <t>ユウガタ</t>
    </rPh>
    <phoneticPr fontId="13"/>
  </si>
  <si>
    <t>11-14</t>
    <phoneticPr fontId="13"/>
  </si>
  <si>
    <t>東9-17</t>
    <rPh sb="0" eb="1">
      <t>ヒガシ</t>
    </rPh>
    <phoneticPr fontId="13"/>
  </si>
  <si>
    <t>佐々木13-14</t>
    <rPh sb="0" eb="3">
      <t>ササキ</t>
    </rPh>
    <phoneticPr fontId="13"/>
  </si>
  <si>
    <t>①9-14 ・・11:30～12:30
②14-19 ・・16:00～17:00
③9-17・・12:00～13:00</t>
    <phoneticPr fontId="13"/>
  </si>
  <si>
    <t>東9-13</t>
    <rPh sb="0" eb="1">
      <t>ヒガシ</t>
    </rPh>
    <phoneticPr fontId="13"/>
  </si>
  <si>
    <t>①9-14 ・・11:30～12:30
②14-19 ・・16:00～17:00
③ほか・・営業時間内で取得</t>
    <rPh sb="46" eb="48">
      <t>エイギョウ</t>
    </rPh>
    <rPh sb="48" eb="50">
      <t>ジカン</t>
    </rPh>
    <rPh sb="50" eb="51">
      <t>ナイ</t>
    </rPh>
    <rPh sb="52" eb="54">
      <t>シュトク</t>
    </rPh>
    <phoneticPr fontId="13"/>
  </si>
  <si>
    <t>2026.5.30</t>
    <phoneticPr fontId="13"/>
  </si>
  <si>
    <t>①9-14 ・・11:30～12:30
②14-19 ・・16:00～17:00
③11-19・・14:30-15:30</t>
    <phoneticPr fontId="13"/>
  </si>
  <si>
    <t>佐々木14-16</t>
    <rPh sb="0" eb="3">
      <t>ササキ</t>
    </rPh>
    <phoneticPr fontId="13"/>
  </si>
  <si>
    <t>2026.5.31</t>
    <phoneticPr fontId="1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</si>
</sst>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00&quot;時&quot;&quot;間&quot;"/>
    <numFmt numFmtId="177" formatCode="##&quot;日&quot;"/>
    <numFmt numFmtId="178" formatCode="###0.0&quot;時&quot;&quot;間&quot;"/>
  </numFmts>
  <fonts count="45" x14ac:knownFonts="1">
    <font>
      <sz val="11"/>
      <color theme="1"/>
      <name val="ＭＳ Ｐゴシック"/>
      <charset val="134"/>
      <scheme val="minor"/>
    </font>
    <font>
      <sz val="11"/>
      <color theme="1"/>
      <name val="ＭＳ Ｐゴシック"/>
      <family val="3"/>
      <charset val="128"/>
      <scheme val="minor"/>
    </font>
    <font>
      <b/>
      <sz val="11"/>
      <color theme="0"/>
      <name val="ＭＳ Ｐゴシック"/>
      <family val="3"/>
      <charset val="128"/>
      <scheme val="minor"/>
    </font>
    <font>
      <sz val="9"/>
      <color theme="1"/>
      <name val="ＭＳ Ｐゴシック"/>
      <family val="3"/>
      <charset val="128"/>
      <scheme val="minor"/>
    </font>
    <font>
      <sz val="10"/>
      <color theme="1"/>
      <name val="ＭＳ Ｐゴシック"/>
      <family val="3"/>
      <charset val="128"/>
      <scheme val="minor"/>
    </font>
    <font>
      <sz val="11"/>
      <name val="ＭＳ Ｐゴシック"/>
      <family val="3"/>
      <charset val="128"/>
      <scheme val="minor"/>
    </font>
    <font>
      <sz val="11"/>
      <color rgb="FFFF0000"/>
      <name val="ＭＳ Ｐゴシック"/>
      <family val="3"/>
      <charset val="128"/>
      <scheme val="minor"/>
    </font>
    <font>
      <sz val="10"/>
      <name val="ＭＳ Ｐゴシック"/>
      <family val="3"/>
      <charset val="128"/>
      <scheme val="minor"/>
    </font>
    <font>
      <sz val="9"/>
      <name val="ＭＳ Ｐゴシック"/>
      <family val="3"/>
      <charset val="128"/>
      <scheme val="minor"/>
    </font>
    <font>
      <b/>
      <sz val="10"/>
      <color rgb="FFFF0000"/>
      <name val="ＭＳ Ｐゴシック"/>
      <family val="3"/>
      <charset val="128"/>
      <scheme val="minor"/>
    </font>
    <font>
      <sz val="20"/>
      <color theme="1"/>
      <name val="ＭＳ Ｐゴシック"/>
      <family val="3"/>
      <charset val="128"/>
      <scheme val="minor"/>
    </font>
    <font>
      <sz val="8"/>
      <color theme="1"/>
      <name val="ＭＳ Ｐゴシック"/>
      <family val="3"/>
      <charset val="128"/>
      <scheme val="minor"/>
    </font>
    <font>
      <b/>
      <sz val="11"/>
      <color rgb="FFFF0000"/>
      <name val="ＭＳ Ｐゴシック"/>
      <family val="3"/>
      <charset val="128"/>
      <scheme val="minor"/>
    </font>
    <font>
      <sz val="6"/>
      <name val="ＭＳ Ｐゴシック"/>
      <family val="3"/>
      <charset val="128"/>
      <scheme val="minor"/>
    </font>
    <font>
      <b/>
      <sz val="11"/>
      <name val="ＭＳ Ｐゴシック"/>
      <family val="3"/>
      <charset val="128"/>
      <scheme val="minor"/>
    </font>
    <font>
      <sz val="8"/>
      <name val="ＭＳ Ｐゴシック"/>
      <family val="3"/>
      <charset val="128"/>
      <scheme val="minor"/>
    </font>
    <font>
      <b/>
      <sz val="9"/>
      <color rgb="FF0070C0"/>
      <name val="ＭＳ Ｐゴシック"/>
      <family val="3"/>
      <charset val="128"/>
      <scheme val="minor"/>
    </font>
    <font>
      <b/>
      <sz val="11"/>
      <color theme="1"/>
      <name val="ＭＳ Ｐゴシック"/>
      <family val="3"/>
      <charset val="128"/>
      <scheme val="minor"/>
    </font>
    <font>
      <sz val="8"/>
      <color rgb="FF0070C0"/>
      <name val="ＭＳ Ｐゴシック"/>
      <family val="3"/>
      <charset val="128"/>
      <scheme val="minor"/>
    </font>
    <font>
      <sz val="12"/>
      <color theme="1"/>
      <name val="ＭＳ Ｐゴシック"/>
      <family val="3"/>
      <charset val="128"/>
      <scheme val="minor"/>
    </font>
    <font>
      <b/>
      <sz val="12"/>
      <color theme="0"/>
      <name val="ＭＳ Ｐゴシック"/>
      <family val="3"/>
      <charset val="128"/>
      <scheme val="minor"/>
    </font>
    <font>
      <b/>
      <sz val="12"/>
      <color rgb="FFFF5050"/>
      <name val="ＭＳ Ｐゴシック"/>
      <family val="3"/>
      <charset val="128"/>
      <scheme val="minor"/>
    </font>
    <font>
      <b/>
      <sz val="11"/>
      <color rgb="FF0070C0"/>
      <name val="ＭＳ Ｐゴシック"/>
      <family val="3"/>
      <charset val="128"/>
      <scheme val="minor"/>
    </font>
    <font>
      <b/>
      <sz val="10"/>
      <color rgb="FF0070C0"/>
      <name val="ＭＳ Ｐゴシック"/>
      <family val="3"/>
      <charset val="128"/>
      <scheme val="minor"/>
    </font>
    <font>
      <b/>
      <sz val="9"/>
      <color rgb="FFFF0000"/>
      <name val="ＭＳ Ｐゴシック"/>
      <family val="3"/>
      <charset val="128"/>
      <scheme val="minor"/>
    </font>
    <font>
      <sz val="10"/>
      <color theme="1"/>
      <name val="游ゴシック"/>
      <family val="3"/>
      <charset val="128"/>
    </font>
    <font>
      <sz val="9"/>
      <color theme="1"/>
      <name val="游ゴシック"/>
      <family val="3"/>
      <charset val="128"/>
    </font>
    <font>
      <sz val="11"/>
      <color theme="1"/>
      <name val="游ゴシック"/>
      <family val="3"/>
      <charset val="128"/>
    </font>
    <font>
      <b/>
      <sz val="9"/>
      <color rgb="FFFF0000"/>
      <name val="游ゴシック"/>
      <family val="3"/>
      <charset val="128"/>
    </font>
    <font>
      <sz val="9"/>
      <color rgb="FF0070C0"/>
      <name val="ＭＳ Ｐゴシック"/>
      <family val="3"/>
      <charset val="128"/>
      <scheme val="minor"/>
    </font>
    <font>
      <b/>
      <sz val="8"/>
      <color rgb="FF0070C0"/>
      <name val="ＭＳ Ｐゴシック"/>
      <family val="3"/>
      <charset val="128"/>
      <scheme val="minor"/>
    </font>
    <font>
      <b/>
      <sz val="8"/>
      <color rgb="FFFF0000"/>
      <name val="ＭＳ Ｐゴシック"/>
      <family val="3"/>
      <charset val="128"/>
      <scheme val="minor"/>
    </font>
    <font>
      <b/>
      <u/>
      <sz val="8"/>
      <color rgb="FFFF0000"/>
      <name val="ＭＳ Ｐゴシック"/>
      <family val="3"/>
      <charset val="128"/>
      <scheme val="minor"/>
    </font>
    <font>
      <sz val="9"/>
      <color rgb="FFFF0000"/>
      <name val="ＭＳ Ｐゴシック"/>
      <family val="3"/>
      <charset val="128"/>
      <scheme val="minor"/>
    </font>
    <font>
      <b/>
      <sz val="8"/>
      <color rgb="FF00B050"/>
      <name val="ＭＳ Ｐゴシック"/>
      <family val="3"/>
      <charset val="128"/>
      <scheme val="minor"/>
    </font>
    <font>
      <b/>
      <sz val="8"/>
      <color theme="1"/>
      <name val="ＭＳ Ｐゴシック"/>
      <family val="3"/>
      <charset val="128"/>
      <scheme val="minor"/>
    </font>
    <font>
      <sz val="10"/>
      <color rgb="FF0070C0"/>
      <name val="ＭＳ Ｐゴシック"/>
      <family val="3"/>
      <charset val="128"/>
      <scheme val="minor"/>
    </font>
    <font>
      <sz val="11"/>
      <color rgb="FF0070C0"/>
      <name val="ＭＳ Ｐゴシック"/>
      <family val="3"/>
      <charset val="128"/>
      <scheme val="minor"/>
    </font>
    <font>
      <sz val="14"/>
      <name val="ＭＳ Ｐゴシック"/>
      <family val="3"/>
      <charset val="128"/>
      <scheme val="minor"/>
    </font>
    <font>
      <sz val="12"/>
      <name val="ＭＳ Ｐゴシック"/>
      <family val="3"/>
      <charset val="128"/>
      <scheme val="minor"/>
    </font>
    <font>
      <sz val="10"/>
      <color rgb="FFFF0000"/>
      <name val="ＭＳ Ｐゴシック"/>
      <family val="3"/>
      <charset val="128"/>
      <scheme val="minor"/>
    </font>
    <font>
      <b/>
      <sz val="11"/>
      <color rgb="FF3669AB"/>
      <name val="ＭＳ Ｐゴシック"/>
      <family val="3"/>
      <charset val="128"/>
      <scheme val="minor"/>
    </font>
    <font>
      <b/>
      <sz val="9"/>
      <color rgb="FF3669AB"/>
      <name val="ＭＳ Ｐゴシック"/>
      <family val="3"/>
      <charset val="128"/>
      <scheme val="minor"/>
    </font>
    <font>
      <b/>
      <sz val="9"/>
      <color rgb="FF0070C0"/>
      <name val="游ゴシック"/>
      <family val="3"/>
      <charset val="128"/>
    </font>
    <font>
      <b/>
      <sz val="8.5"/>
      <color rgb="FFFF0000"/>
      <name val="游ゴシック"/>
      <family val="3"/>
      <charset val="128"/>
    </font>
  </fonts>
  <fills count="21">
    <fill>
      <patternFill patternType="none"/>
    </fill>
    <fill>
      <patternFill patternType="gray125"/>
    </fill>
    <fill>
      <patternFill patternType="solid">
        <fgColor theme="0" tint="-0.249977111117893"/>
        <bgColor indexed="64"/>
      </patternFill>
    </fill>
    <fill>
      <patternFill patternType="solid">
        <fgColor theme="0" tint="-0.249977111117893"/>
        <bgColor indexed="64"/>
      </patternFill>
    </fill>
    <fill>
      <patternFill patternType="solid">
        <fgColor theme="7" tint="0.59999389629810485"/>
        <bgColor indexed="64"/>
      </patternFill>
    </fill>
    <fill>
      <patternFill patternType="solid">
        <fgColor theme="0"/>
        <bgColor indexed="64"/>
      </patternFill>
    </fill>
    <fill>
      <patternFill patternType="solid">
        <fgColor theme="7" tint="0.59999389629810485"/>
        <bgColor indexed="64"/>
      </patternFill>
    </fill>
    <fill>
      <patternFill patternType="solid">
        <fgColor rgb="FFFFC000"/>
        <bgColor indexed="64"/>
      </patternFill>
    </fill>
    <fill>
      <patternFill patternType="solid">
        <fgColor rgb="FF92D050"/>
        <bgColor indexed="64"/>
      </patternFill>
    </fill>
    <fill>
      <patternFill patternType="solid">
        <fgColor theme="0" tint="-0.14999847407452621"/>
        <bgColor indexed="64"/>
      </patternFill>
    </fill>
    <fill>
      <patternFill patternType="solid">
        <fgColor rgb="FFF58383"/>
        <bgColor indexed="64"/>
      </patternFill>
    </fill>
    <fill>
      <patternFill patternType="solid">
        <fgColor rgb="FFFFCCCC"/>
        <bgColor indexed="64"/>
      </patternFill>
    </fill>
    <fill>
      <patternFill patternType="solid">
        <fgColor rgb="FF9966FF"/>
        <bgColor indexed="64"/>
      </patternFill>
    </fill>
    <fill>
      <patternFill patternType="solid">
        <fgColor rgb="FF99FFCC"/>
        <bgColor indexed="64"/>
      </patternFill>
    </fill>
    <fill>
      <patternFill patternType="solid">
        <fgColor rgb="FF0070C0"/>
        <bgColor indexed="64"/>
      </patternFill>
    </fill>
    <fill>
      <patternFill patternType="solid">
        <fgColor rgb="FFFFFF00"/>
        <bgColor indexed="64"/>
      </patternFill>
    </fill>
    <fill>
      <patternFill patternType="solid">
        <fgColor theme="1"/>
        <bgColor indexed="64"/>
      </patternFill>
    </fill>
    <fill>
      <patternFill patternType="solid">
        <fgColor theme="0" tint="-0.14996795556505021"/>
        <bgColor indexed="64"/>
      </patternFill>
    </fill>
    <fill>
      <patternFill patternType="solid">
        <fgColor rgb="FFBAF8F8"/>
        <bgColor indexed="64"/>
      </patternFill>
    </fill>
    <fill>
      <patternFill patternType="solid">
        <fgColor theme="9" tint="0.59999389629810485"/>
        <bgColor indexed="64"/>
      </patternFill>
    </fill>
    <fill>
      <patternFill patternType="solid">
        <fgColor theme="5" tint="0.79998168889431442"/>
        <bgColor indexed="64"/>
      </patternFill>
    </fill>
  </fills>
  <borders count="47">
    <border>
      <left/>
      <right/>
      <top/>
      <bottom/>
      <diagonal/>
    </border>
    <border>
      <left style="medium">
        <color auto="1"/>
      </left>
      <right/>
      <top style="medium">
        <color auto="1"/>
      </top>
      <bottom style="medium">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thin">
        <color auto="1"/>
      </left>
      <right style="thin">
        <color auto="1"/>
      </right>
      <top style="thin">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style="thin">
        <color auto="1"/>
      </top>
      <bottom/>
      <diagonal/>
    </border>
    <border>
      <left/>
      <right style="thin">
        <color indexed="64"/>
      </right>
      <top/>
      <bottom/>
      <diagonal/>
    </border>
    <border>
      <left style="medium">
        <color rgb="FFFF0000"/>
      </left>
      <right style="medium">
        <color rgb="FFFF0000"/>
      </right>
      <top style="medium">
        <color rgb="FFFF0000"/>
      </top>
      <bottom style="medium">
        <color rgb="FFFF0000"/>
      </bottom>
      <diagonal/>
    </border>
    <border>
      <left style="medium">
        <color indexed="64"/>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thin">
        <color auto="1"/>
      </bottom>
      <diagonal/>
    </border>
    <border>
      <left style="medium">
        <color indexed="64"/>
      </left>
      <right/>
      <top style="thin">
        <color auto="1"/>
      </top>
      <bottom style="thin">
        <color auto="1"/>
      </bottom>
      <diagonal/>
    </border>
    <border>
      <left style="medium">
        <color indexed="64"/>
      </left>
      <right style="thin">
        <color auto="1"/>
      </right>
      <top/>
      <bottom style="medium">
        <color indexed="64"/>
      </bottom>
      <diagonal/>
    </border>
    <border>
      <left style="medium">
        <color indexed="64"/>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diagonalUp="1">
      <left style="thin">
        <color auto="1"/>
      </left>
      <right style="thin">
        <color auto="1"/>
      </right>
      <top style="thin">
        <color auto="1"/>
      </top>
      <bottom style="thin">
        <color auto="1"/>
      </bottom>
      <diagonal style="thin">
        <color auto="1"/>
      </diagonal>
    </border>
    <border>
      <left style="medium">
        <color indexed="64"/>
      </left>
      <right style="thin">
        <color auto="1"/>
      </right>
      <top style="medium">
        <color indexed="64"/>
      </top>
      <bottom/>
      <diagonal/>
    </border>
    <border>
      <left style="thin">
        <color auto="1"/>
      </left>
      <right style="thin">
        <color auto="1"/>
      </right>
      <top style="medium">
        <color indexed="64"/>
      </top>
      <bottom style="thin">
        <color auto="1"/>
      </bottom>
      <diagonal/>
    </border>
    <border>
      <left/>
      <right style="thin">
        <color auto="1"/>
      </right>
      <top style="medium">
        <color indexed="64"/>
      </top>
      <bottom style="thin">
        <color auto="1"/>
      </bottom>
      <diagonal/>
    </border>
    <border>
      <left style="thin">
        <color auto="1"/>
      </left>
      <right style="thin">
        <color auto="1"/>
      </right>
      <top style="medium">
        <color indexed="64"/>
      </top>
      <bottom/>
      <diagonal/>
    </border>
    <border>
      <left style="thin">
        <color auto="1"/>
      </left>
      <right/>
      <top style="medium">
        <color indexed="64"/>
      </top>
      <bottom/>
      <diagonal/>
    </border>
    <border>
      <left/>
      <right style="medium">
        <color indexed="64"/>
      </right>
      <top style="medium">
        <color indexed="64"/>
      </top>
      <bottom/>
      <diagonal/>
    </border>
    <border>
      <left style="thin">
        <color auto="1"/>
      </left>
      <right style="thin">
        <color auto="1"/>
      </right>
      <top style="thin">
        <color auto="1"/>
      </top>
      <bottom style="medium">
        <color indexed="64"/>
      </bottom>
      <diagonal/>
    </border>
    <border>
      <left/>
      <right style="thin">
        <color auto="1"/>
      </right>
      <top style="thin">
        <color auto="1"/>
      </top>
      <bottom style="medium">
        <color indexed="64"/>
      </bottom>
      <diagonal/>
    </border>
    <border>
      <left style="thin">
        <color auto="1"/>
      </left>
      <right style="thin">
        <color auto="1"/>
      </right>
      <top/>
      <bottom style="medium">
        <color indexed="64"/>
      </bottom>
      <diagonal/>
    </border>
    <border>
      <left style="thin">
        <color auto="1"/>
      </left>
      <right/>
      <top/>
      <bottom style="medium">
        <color indexed="64"/>
      </bottom>
      <diagonal/>
    </border>
    <border>
      <left/>
      <right style="medium">
        <color indexed="64"/>
      </right>
      <top/>
      <bottom style="medium">
        <color indexed="64"/>
      </bottom>
      <diagonal/>
    </border>
    <border>
      <left/>
      <right/>
      <top/>
      <bottom style="thin">
        <color auto="1"/>
      </bottom>
      <diagonal/>
    </border>
    <border>
      <left style="medium">
        <color rgb="FF0070C0"/>
      </left>
      <right/>
      <top style="medium">
        <color rgb="FF0070C0"/>
      </top>
      <bottom style="medium">
        <color rgb="FF0070C0"/>
      </bottom>
      <diagonal/>
    </border>
    <border>
      <left/>
      <right/>
      <top style="medium">
        <color rgb="FF0070C0"/>
      </top>
      <bottom style="medium">
        <color rgb="FF0070C0"/>
      </bottom>
      <diagonal/>
    </border>
    <border>
      <left/>
      <right style="medium">
        <color rgb="FF0070C0"/>
      </right>
      <top style="medium">
        <color rgb="FF0070C0"/>
      </top>
      <bottom style="medium">
        <color rgb="FF0070C0"/>
      </bottom>
      <diagonal/>
    </border>
    <border>
      <left/>
      <right style="medium">
        <color theme="1"/>
      </right>
      <top/>
      <bottom/>
      <diagonal/>
    </border>
    <border>
      <left/>
      <right style="thin">
        <color auto="1"/>
      </right>
      <top/>
      <bottom style="medium">
        <color indexed="64"/>
      </bottom>
      <diagonal/>
    </border>
    <border>
      <left style="medium">
        <color theme="1"/>
      </left>
      <right/>
      <top style="medium">
        <color theme="1"/>
      </top>
      <bottom style="medium">
        <color theme="1"/>
      </bottom>
      <diagonal/>
    </border>
    <border>
      <left/>
      <right/>
      <top style="medium">
        <color theme="1"/>
      </top>
      <bottom style="medium">
        <color theme="1"/>
      </bottom>
      <diagonal/>
    </border>
    <border>
      <left/>
      <right style="medium">
        <color theme="1"/>
      </right>
      <top style="medium">
        <color theme="1"/>
      </top>
      <bottom style="medium">
        <color theme="1"/>
      </bottom>
      <diagonal/>
    </border>
    <border>
      <left style="medium">
        <color indexed="64"/>
      </left>
      <right/>
      <top/>
      <bottom style="thin">
        <color auto="1"/>
      </bottom>
      <diagonal/>
    </border>
  </borders>
  <cellStyleXfs count="3">
    <xf numFmtId="0" fontId="0" fillId="0" borderId="0">
      <alignment vertical="center"/>
    </xf>
    <xf numFmtId="0" fontId="1" fillId="0" borderId="0">
      <alignment vertical="center"/>
    </xf>
    <xf numFmtId="0" fontId="1" fillId="0" borderId="0">
      <alignment vertical="center"/>
    </xf>
  </cellStyleXfs>
  <cellXfs count="438">
    <xf numFmtId="0" fontId="0" fillId="0" borderId="0" xfId="0">
      <alignment vertical="center"/>
    </xf>
    <xf numFmtId="0" fontId="1" fillId="0" borderId="0" xfId="0" applyFont="1">
      <alignment vertical="center"/>
    </xf>
    <xf numFmtId="0" fontId="5" fillId="2" borderId="2" xfId="0" applyFont="1" applyFill="1" applyBorder="1" applyAlignment="1">
      <alignment horizontal="center" vertical="center"/>
    </xf>
    <xf numFmtId="176" fontId="1" fillId="0" borderId="0" xfId="0" applyNumberFormat="1" applyFont="1">
      <alignment vertical="center"/>
    </xf>
    <xf numFmtId="0" fontId="1" fillId="5" borderId="0" xfId="0" applyFont="1" applyFill="1">
      <alignment vertical="center"/>
    </xf>
    <xf numFmtId="0" fontId="1" fillId="0" borderId="2" xfId="0" applyFont="1" applyBorder="1" applyAlignment="1">
      <alignment horizontal="center" vertical="center"/>
    </xf>
    <xf numFmtId="49" fontId="10" fillId="0" borderId="0" xfId="0" applyNumberFormat="1" applyFont="1">
      <alignment vertical="center"/>
    </xf>
    <xf numFmtId="56" fontId="3" fillId="2" borderId="7" xfId="0" applyNumberFormat="1" applyFont="1" applyFill="1" applyBorder="1" applyAlignment="1">
      <alignment horizontal="center" vertical="center"/>
    </xf>
    <xf numFmtId="0" fontId="6" fillId="2" borderId="10" xfId="0" applyFont="1" applyFill="1" applyBorder="1" applyAlignment="1">
      <alignment horizontal="center" vertical="center"/>
    </xf>
    <xf numFmtId="0" fontId="11" fillId="0" borderId="0" xfId="0" applyFont="1" applyAlignment="1">
      <alignment horizontal="center" vertical="center" wrapText="1"/>
    </xf>
    <xf numFmtId="49" fontId="5" fillId="3" borderId="2" xfId="0" applyNumberFormat="1" applyFont="1" applyFill="1" applyBorder="1" applyAlignment="1">
      <alignment horizontal="center" vertical="center"/>
    </xf>
    <xf numFmtId="49" fontId="5" fillId="0" borderId="2" xfId="0" applyNumberFormat="1" applyFont="1" applyBorder="1" applyAlignment="1">
      <alignment horizontal="center" vertical="center"/>
    </xf>
    <xf numFmtId="0" fontId="3" fillId="0" borderId="0" xfId="0" applyFont="1">
      <alignment vertical="center"/>
    </xf>
    <xf numFmtId="0" fontId="1" fillId="0" borderId="0" xfId="0" applyFont="1" applyAlignment="1">
      <alignment horizontal="center" vertical="center"/>
    </xf>
    <xf numFmtId="49" fontId="1" fillId="0" borderId="0" xfId="0" applyNumberFormat="1" applyFont="1" applyAlignment="1">
      <alignment horizontal="left" vertical="center"/>
    </xf>
    <xf numFmtId="49" fontId="7" fillId="0" borderId="2" xfId="0" applyNumberFormat="1" applyFont="1" applyBorder="1" applyAlignment="1">
      <alignment horizontal="center" vertical="center"/>
    </xf>
    <xf numFmtId="0" fontId="5" fillId="4" borderId="2" xfId="0" applyFont="1" applyFill="1" applyBorder="1" applyAlignment="1">
      <alignment horizontal="center" vertical="center"/>
    </xf>
    <xf numFmtId="49" fontId="9" fillId="0" borderId="2" xfId="0" applyNumberFormat="1" applyFont="1" applyBorder="1" applyAlignment="1">
      <alignment horizontal="center" vertical="center"/>
    </xf>
    <xf numFmtId="0" fontId="5" fillId="0" borderId="3" xfId="0" applyFont="1" applyBorder="1" applyAlignment="1">
      <alignment horizontal="center" vertical="center"/>
    </xf>
    <xf numFmtId="0" fontId="5" fillId="0" borderId="2" xfId="0" applyFont="1" applyBorder="1" applyAlignment="1">
      <alignment horizontal="center" vertical="center"/>
    </xf>
    <xf numFmtId="0" fontId="5" fillId="3" borderId="2" xfId="0" applyFont="1" applyFill="1" applyBorder="1" applyAlignment="1">
      <alignment horizontal="center" vertical="center"/>
    </xf>
    <xf numFmtId="0" fontId="1" fillId="2" borderId="2" xfId="0" applyFont="1" applyFill="1" applyBorder="1" applyAlignment="1">
      <alignment horizontal="center" vertical="center"/>
    </xf>
    <xf numFmtId="56" fontId="1" fillId="2" borderId="2" xfId="0" applyNumberFormat="1" applyFont="1" applyFill="1" applyBorder="1" applyAlignment="1">
      <alignment horizontal="center" vertical="center"/>
    </xf>
    <xf numFmtId="0" fontId="6" fillId="2" borderId="2" xfId="0" applyFont="1" applyFill="1" applyBorder="1" applyAlignment="1">
      <alignment horizontal="center" vertical="center"/>
    </xf>
    <xf numFmtId="49" fontId="14" fillId="2" borderId="2" xfId="0" applyNumberFormat="1" applyFont="1" applyFill="1" applyBorder="1">
      <alignment vertical="center"/>
    </xf>
    <xf numFmtId="0" fontId="1" fillId="0" borderId="7" xfId="0" applyFont="1" applyBorder="1" applyAlignment="1">
      <alignment horizontal="center" vertical="center"/>
    </xf>
    <xf numFmtId="49" fontId="5" fillId="0" borderId="9" xfId="0" applyNumberFormat="1" applyFont="1" applyBorder="1" applyAlignment="1">
      <alignment horizontal="center" vertical="center"/>
    </xf>
    <xf numFmtId="0" fontId="16" fillId="0" borderId="2" xfId="0" applyFont="1" applyBorder="1" applyAlignment="1">
      <alignment horizontal="center" vertical="center"/>
    </xf>
    <xf numFmtId="49" fontId="5" fillId="3" borderId="13" xfId="0" applyNumberFormat="1" applyFont="1" applyFill="1" applyBorder="1" applyAlignment="1">
      <alignment horizontal="center" vertical="center"/>
    </xf>
    <xf numFmtId="0" fontId="1" fillId="2" borderId="9" xfId="0" applyFont="1" applyFill="1" applyBorder="1" applyAlignment="1">
      <alignment horizontal="center" vertical="center"/>
    </xf>
    <xf numFmtId="49" fontId="5" fillId="3" borderId="11" xfId="0" applyNumberFormat="1" applyFont="1" applyFill="1" applyBorder="1" applyAlignment="1">
      <alignment horizontal="center" vertical="center"/>
    </xf>
    <xf numFmtId="49" fontId="14" fillId="2" borderId="13" xfId="0" applyNumberFormat="1" applyFont="1" applyFill="1" applyBorder="1">
      <alignment vertical="center"/>
    </xf>
    <xf numFmtId="49" fontId="5" fillId="2" borderId="9" xfId="0" applyNumberFormat="1" applyFont="1" applyFill="1" applyBorder="1" applyAlignment="1">
      <alignment horizontal="center" vertical="center"/>
    </xf>
    <xf numFmtId="49" fontId="5" fillId="2" borderId="11" xfId="0" applyNumberFormat="1" applyFont="1" applyFill="1" applyBorder="1" applyAlignment="1">
      <alignment horizontal="center" vertical="center"/>
    </xf>
    <xf numFmtId="49" fontId="7" fillId="0" borderId="9" xfId="0" applyNumberFormat="1" applyFont="1" applyBorder="1" applyAlignment="1">
      <alignment horizontal="center" vertical="center"/>
    </xf>
    <xf numFmtId="0" fontId="16" fillId="0" borderId="0" xfId="0" applyFont="1" applyAlignment="1">
      <alignment horizontal="center" vertical="center"/>
    </xf>
    <xf numFmtId="49" fontId="5" fillId="0" borderId="0" xfId="0" applyNumberFormat="1" applyFont="1" applyAlignment="1">
      <alignment horizontal="center" vertical="center"/>
    </xf>
    <xf numFmtId="0" fontId="1" fillId="0" borderId="9" xfId="0" applyFont="1" applyBorder="1" applyAlignment="1">
      <alignment horizontal="center" vertical="center"/>
    </xf>
    <xf numFmtId="0" fontId="8" fillId="0" borderId="9" xfId="0" applyFont="1" applyBorder="1" applyAlignment="1">
      <alignment horizontal="center" vertical="center"/>
    </xf>
    <xf numFmtId="49" fontId="1" fillId="3" borderId="9" xfId="0" applyNumberFormat="1" applyFont="1" applyFill="1" applyBorder="1" applyAlignment="1">
      <alignment horizontal="left" vertical="center"/>
    </xf>
    <xf numFmtId="49" fontId="5" fillId="3" borderId="11" xfId="0" applyNumberFormat="1" applyFont="1" applyFill="1" applyBorder="1" applyAlignment="1">
      <alignment horizontal="left" vertical="center"/>
    </xf>
    <xf numFmtId="0" fontId="5" fillId="0" borderId="9" xfId="0" applyFont="1" applyBorder="1" applyAlignment="1">
      <alignment horizontal="center" vertical="center"/>
    </xf>
    <xf numFmtId="176" fontId="1" fillId="0" borderId="7" xfId="0" applyNumberFormat="1" applyFont="1" applyBorder="1" applyAlignment="1">
      <alignment horizontal="center" vertical="center" wrapText="1"/>
    </xf>
    <xf numFmtId="0" fontId="1" fillId="0" borderId="8" xfId="0" applyFont="1" applyBorder="1" applyAlignment="1">
      <alignment horizontal="center" vertical="center"/>
    </xf>
    <xf numFmtId="0" fontId="21" fillId="0" borderId="0" xfId="0" applyFont="1" applyAlignment="1">
      <alignment horizontal="center" vertical="center"/>
    </xf>
    <xf numFmtId="0" fontId="6" fillId="0" borderId="6" xfId="0" applyFont="1" applyBorder="1" applyAlignment="1">
      <alignment horizontal="center" vertical="center"/>
    </xf>
    <xf numFmtId="56" fontId="1" fillId="3" borderId="9" xfId="0" applyNumberFormat="1" applyFont="1" applyFill="1" applyBorder="1" applyAlignment="1">
      <alignment horizontal="center" vertical="center"/>
    </xf>
    <xf numFmtId="49" fontId="5" fillId="0" borderId="13" xfId="0" applyNumberFormat="1" applyFont="1" applyBorder="1" applyAlignment="1">
      <alignment horizontal="center" vertical="center"/>
    </xf>
    <xf numFmtId="49" fontId="5" fillId="0" borderId="11" xfId="0" applyNumberFormat="1" applyFont="1" applyBorder="1" applyAlignment="1">
      <alignment horizontal="center" vertical="center"/>
    </xf>
    <xf numFmtId="0" fontId="22" fillId="0" borderId="2" xfId="0" applyFont="1" applyBorder="1" applyAlignment="1">
      <alignment horizontal="center" vertical="center"/>
    </xf>
    <xf numFmtId="49" fontId="22" fillId="0" borderId="13" xfId="0" applyNumberFormat="1" applyFont="1" applyBorder="1" applyAlignment="1">
      <alignment horizontal="center" vertical="center"/>
    </xf>
    <xf numFmtId="49" fontId="5" fillId="15" borderId="13" xfId="0" applyNumberFormat="1" applyFont="1" applyFill="1" applyBorder="1" applyAlignment="1">
      <alignment horizontal="center" vertical="center"/>
    </xf>
    <xf numFmtId="49" fontId="5" fillId="15" borderId="2" xfId="0" applyNumberFormat="1" applyFont="1" applyFill="1" applyBorder="1" applyAlignment="1">
      <alignment horizontal="center" vertical="center"/>
    </xf>
    <xf numFmtId="0" fontId="21" fillId="0" borderId="17" xfId="0" applyFont="1" applyBorder="1" applyAlignment="1">
      <alignment horizontal="center" vertical="center"/>
    </xf>
    <xf numFmtId="49" fontId="5" fillId="15" borderId="9" xfId="0" applyNumberFormat="1" applyFont="1" applyFill="1" applyBorder="1" applyAlignment="1">
      <alignment horizontal="center" vertical="center"/>
    </xf>
    <xf numFmtId="0" fontId="5" fillId="0" borderId="20" xfId="0" applyFont="1" applyBorder="1" applyAlignment="1">
      <alignment horizontal="center" vertical="center"/>
    </xf>
    <xf numFmtId="49" fontId="7" fillId="15" borderId="9" xfId="0" applyNumberFormat="1" applyFont="1" applyFill="1" applyBorder="1" applyAlignment="1">
      <alignment horizontal="center" vertical="center"/>
    </xf>
    <xf numFmtId="49" fontId="5" fillId="0" borderId="25" xfId="0" applyNumberFormat="1" applyFont="1" applyBorder="1" applyAlignment="1">
      <alignment horizontal="center" vertical="center"/>
    </xf>
    <xf numFmtId="0" fontId="8" fillId="0" borderId="2" xfId="0" applyFont="1" applyBorder="1" applyAlignment="1">
      <alignment horizontal="center" vertical="center"/>
    </xf>
    <xf numFmtId="49" fontId="5" fillId="3" borderId="2" xfId="0" applyNumberFormat="1" applyFont="1" applyFill="1" applyBorder="1" applyAlignment="1">
      <alignment horizontal="left" vertical="center"/>
    </xf>
    <xf numFmtId="56" fontId="1" fillId="3" borderId="2" xfId="0" applyNumberFormat="1" applyFont="1" applyFill="1" applyBorder="1" applyAlignment="1">
      <alignment horizontal="center" vertical="center"/>
    </xf>
    <xf numFmtId="176" fontId="1" fillId="0" borderId="3" xfId="0" applyNumberFormat="1" applyFont="1" applyBorder="1" applyAlignment="1">
      <alignment horizontal="center" vertical="center" wrapText="1"/>
    </xf>
    <xf numFmtId="176" fontId="1" fillId="0" borderId="13" xfId="0" applyNumberFormat="1" applyFont="1" applyBorder="1" applyAlignment="1">
      <alignment horizontal="center" vertical="center" wrapText="1"/>
    </xf>
    <xf numFmtId="49" fontId="16" fillId="0" borderId="2" xfId="0" applyNumberFormat="1" applyFont="1" applyBorder="1" applyAlignment="1">
      <alignment horizontal="center" vertical="center"/>
    </xf>
    <xf numFmtId="0" fontId="25" fillId="15" borderId="14" xfId="0" applyFont="1" applyFill="1" applyBorder="1" applyAlignment="1">
      <alignment horizontal="left" vertical="center"/>
    </xf>
    <xf numFmtId="0" fontId="25" fillId="15" borderId="16" xfId="0" applyFont="1" applyFill="1" applyBorder="1" applyAlignment="1">
      <alignment horizontal="left" vertical="center"/>
    </xf>
    <xf numFmtId="0" fontId="26" fillId="0" borderId="14" xfId="0" applyFont="1" applyBorder="1" applyAlignment="1">
      <alignment horizontal="left" vertical="center"/>
    </xf>
    <xf numFmtId="0" fontId="26" fillId="0" borderId="0" xfId="0" applyFont="1" applyAlignment="1">
      <alignment horizontal="left" vertical="center"/>
    </xf>
    <xf numFmtId="49" fontId="5" fillId="0" borderId="6" xfId="0" applyNumberFormat="1" applyFont="1" applyBorder="1" applyAlignment="1">
      <alignment horizontal="center" vertical="center"/>
    </xf>
    <xf numFmtId="0" fontId="1" fillId="0" borderId="6" xfId="0" applyFont="1" applyBorder="1" applyAlignment="1">
      <alignment horizontal="center" vertical="center"/>
    </xf>
    <xf numFmtId="176" fontId="1" fillId="0" borderId="8" xfId="0" applyNumberFormat="1" applyFont="1" applyBorder="1" applyAlignment="1">
      <alignment horizontal="center" vertical="center" wrapText="1"/>
    </xf>
    <xf numFmtId="49" fontId="8" fillId="8" borderId="2" xfId="0" applyNumberFormat="1" applyFont="1" applyFill="1" applyBorder="1" applyAlignment="1">
      <alignment horizontal="center" vertical="center"/>
    </xf>
    <xf numFmtId="0" fontId="5" fillId="4" borderId="6" xfId="0" applyFont="1" applyFill="1" applyBorder="1" applyAlignment="1">
      <alignment horizontal="center" vertical="center"/>
    </xf>
    <xf numFmtId="0" fontId="5" fillId="2" borderId="6" xfId="0" applyFont="1" applyFill="1" applyBorder="1" applyAlignment="1">
      <alignment horizontal="center" vertical="center"/>
    </xf>
    <xf numFmtId="49" fontId="5" fillId="3" borderId="9" xfId="0" applyNumberFormat="1" applyFont="1" applyFill="1" applyBorder="1" applyAlignment="1">
      <alignment horizontal="center" vertical="center"/>
    </xf>
    <xf numFmtId="49" fontId="5" fillId="0" borderId="27" xfId="0" applyNumberFormat="1" applyFont="1" applyBorder="1" applyAlignment="1">
      <alignment horizontal="center" vertical="center"/>
    </xf>
    <xf numFmtId="49" fontId="5" fillId="3" borderId="28" xfId="0" applyNumberFormat="1" applyFont="1" applyFill="1" applyBorder="1" applyAlignment="1">
      <alignment horizontal="center" vertical="center"/>
    </xf>
    <xf numFmtId="49" fontId="5" fillId="0" borderId="32" xfId="0" applyNumberFormat="1" applyFont="1" applyBorder="1" applyAlignment="1">
      <alignment horizontal="center" vertical="center"/>
    </xf>
    <xf numFmtId="49" fontId="5" fillId="3" borderId="33" xfId="0" applyNumberFormat="1" applyFont="1" applyFill="1" applyBorder="1" applyAlignment="1">
      <alignment horizontal="center" vertical="center"/>
    </xf>
    <xf numFmtId="0" fontId="22" fillId="0" borderId="9" xfId="0" applyFont="1" applyBorder="1" applyAlignment="1">
      <alignment horizontal="center" vertical="center"/>
    </xf>
    <xf numFmtId="0" fontId="1" fillId="0" borderId="3" xfId="0" applyFont="1" applyBorder="1" applyAlignment="1">
      <alignment horizontal="center" vertical="center"/>
    </xf>
    <xf numFmtId="49" fontId="8" fillId="0" borderId="9" xfId="0" applyNumberFormat="1" applyFont="1" applyBorder="1" applyAlignment="1">
      <alignment horizontal="center" vertical="center"/>
    </xf>
    <xf numFmtId="49" fontId="8" fillId="0" borderId="2" xfId="0" applyNumberFormat="1" applyFont="1" applyBorder="1" applyAlignment="1">
      <alignment horizontal="center" vertical="center"/>
    </xf>
    <xf numFmtId="49" fontId="16" fillId="0" borderId="32" xfId="0" applyNumberFormat="1" applyFont="1" applyBorder="1" applyAlignment="1">
      <alignment horizontal="center" vertical="center"/>
    </xf>
    <xf numFmtId="0" fontId="0" fillId="0" borderId="0" xfId="0" applyAlignment="1">
      <alignment horizontal="center" vertical="center"/>
    </xf>
    <xf numFmtId="176" fontId="0" fillId="0" borderId="0" xfId="0" applyNumberFormat="1">
      <alignment vertical="center"/>
    </xf>
    <xf numFmtId="0" fontId="5" fillId="6" borderId="2" xfId="0" applyFont="1" applyFill="1" applyBorder="1" applyAlignment="1">
      <alignment horizontal="center" vertical="center"/>
    </xf>
    <xf numFmtId="49" fontId="14" fillId="3" borderId="2" xfId="0" applyNumberFormat="1" applyFont="1" applyFill="1" applyBorder="1">
      <alignment vertical="center"/>
    </xf>
    <xf numFmtId="56" fontId="3" fillId="3" borderId="7" xfId="0" applyNumberFormat="1" applyFont="1" applyFill="1" applyBorder="1" applyAlignment="1">
      <alignment horizontal="center" vertical="center"/>
    </xf>
    <xf numFmtId="0" fontId="6" fillId="3" borderId="10" xfId="0" applyFont="1" applyFill="1" applyBorder="1" applyAlignment="1">
      <alignment horizontal="center" vertical="center"/>
    </xf>
    <xf numFmtId="49" fontId="7" fillId="3" borderId="9" xfId="0" applyNumberFormat="1" applyFont="1" applyFill="1" applyBorder="1" applyAlignment="1">
      <alignment horizontal="center" vertical="center"/>
    </xf>
    <xf numFmtId="49" fontId="14" fillId="2" borderId="28" xfId="0" applyNumberFormat="1" applyFont="1" applyFill="1" applyBorder="1">
      <alignment vertical="center"/>
    </xf>
    <xf numFmtId="49" fontId="14" fillId="2" borderId="33" xfId="0" applyNumberFormat="1" applyFont="1" applyFill="1" applyBorder="1">
      <alignment vertical="center"/>
    </xf>
    <xf numFmtId="0" fontId="1" fillId="0" borderId="0" xfId="2" applyAlignment="1">
      <alignment horizontal="center" vertical="center"/>
    </xf>
    <xf numFmtId="0" fontId="32" fillId="0" borderId="0" xfId="0" applyFont="1" applyAlignment="1">
      <alignment horizontal="center" vertical="center"/>
    </xf>
    <xf numFmtId="0" fontId="3" fillId="3" borderId="2" xfId="2" applyFont="1" applyFill="1" applyBorder="1" applyAlignment="1">
      <alignment horizontal="center" vertical="center"/>
    </xf>
    <xf numFmtId="0" fontId="4" fillId="3" borderId="2" xfId="2" applyFont="1" applyFill="1" applyBorder="1" applyAlignment="1">
      <alignment horizontal="center" vertical="center"/>
    </xf>
    <xf numFmtId="0" fontId="8" fillId="3" borderId="13" xfId="0" applyFont="1" applyFill="1" applyBorder="1" applyAlignment="1">
      <alignment horizontal="center" vertical="center"/>
    </xf>
    <xf numFmtId="0" fontId="8" fillId="3" borderId="2" xfId="0" applyFont="1" applyFill="1" applyBorder="1" applyAlignment="1">
      <alignment horizontal="center" vertical="center"/>
    </xf>
    <xf numFmtId="0" fontId="33" fillId="3" borderId="2" xfId="0" applyFont="1" applyFill="1" applyBorder="1" applyAlignment="1">
      <alignment horizontal="center" vertical="center"/>
    </xf>
    <xf numFmtId="0" fontId="3" fillId="0" borderId="0" xfId="0" applyFont="1" applyAlignment="1">
      <alignment horizontal="center" vertical="center"/>
    </xf>
    <xf numFmtId="0" fontId="3" fillId="6" borderId="2" xfId="0" applyFont="1" applyFill="1" applyBorder="1" applyAlignment="1">
      <alignment horizontal="center" vertical="center"/>
    </xf>
    <xf numFmtId="0" fontId="0" fillId="6" borderId="10" xfId="0" applyFill="1" applyBorder="1" applyAlignment="1">
      <alignment horizontal="center" vertical="center"/>
    </xf>
    <xf numFmtId="49" fontId="8" fillId="3" borderId="13" xfId="0" applyNumberFormat="1" applyFont="1" applyFill="1" applyBorder="1" applyAlignment="1">
      <alignment horizontal="center" vertical="center"/>
    </xf>
    <xf numFmtId="177" fontId="0" fillId="0" borderId="2" xfId="0" applyNumberFormat="1" applyBorder="1" applyAlignment="1">
      <alignment horizontal="center" vertical="center"/>
    </xf>
    <xf numFmtId="177" fontId="0" fillId="0" borderId="9" xfId="0" applyNumberFormat="1" applyBorder="1" applyAlignment="1">
      <alignment horizontal="center" vertical="center"/>
    </xf>
    <xf numFmtId="49" fontId="15" fillId="3" borderId="42" xfId="0" applyNumberFormat="1" applyFont="1" applyFill="1" applyBorder="1" applyAlignment="1">
      <alignment horizontal="center" vertical="center"/>
    </xf>
    <xf numFmtId="49" fontId="8" fillId="3" borderId="42" xfId="0" applyNumberFormat="1" applyFont="1" applyFill="1" applyBorder="1" applyAlignment="1">
      <alignment horizontal="center" vertical="center"/>
    </xf>
    <xf numFmtId="49" fontId="34" fillId="0" borderId="32" xfId="0" applyNumberFormat="1" applyFont="1" applyBorder="1" applyAlignment="1">
      <alignment horizontal="center" vertical="center"/>
    </xf>
    <xf numFmtId="49" fontId="30" fillId="0" borderId="32" xfId="0" applyNumberFormat="1" applyFont="1" applyBorder="1" applyAlignment="1">
      <alignment horizontal="center" vertical="center"/>
    </xf>
    <xf numFmtId="0" fontId="3" fillId="3" borderId="9" xfId="2" applyFont="1" applyFill="1" applyBorder="1" applyAlignment="1">
      <alignment horizontal="center" vertical="center"/>
    </xf>
    <xf numFmtId="56" fontId="11" fillId="3" borderId="9" xfId="2" applyNumberFormat="1" applyFont="1" applyFill="1" applyBorder="1" applyAlignment="1">
      <alignment horizontal="center" vertical="center"/>
    </xf>
    <xf numFmtId="56" fontId="3" fillId="3" borderId="14" xfId="1" applyNumberFormat="1" applyFont="1" applyFill="1" applyBorder="1" applyAlignment="1">
      <alignment horizontal="center" vertical="center"/>
    </xf>
    <xf numFmtId="0" fontId="6" fillId="3" borderId="10" xfId="1" applyFont="1" applyFill="1" applyBorder="1" applyAlignment="1">
      <alignment horizontal="center" vertical="center"/>
    </xf>
    <xf numFmtId="0" fontId="3" fillId="6" borderId="6" xfId="0" applyFont="1" applyFill="1" applyBorder="1" applyAlignment="1">
      <alignment horizontal="center" vertical="center"/>
    </xf>
    <xf numFmtId="49" fontId="8" fillId="3" borderId="2" xfId="0" applyNumberFormat="1" applyFont="1" applyFill="1" applyBorder="1" applyAlignment="1">
      <alignment horizontal="center" vertical="center"/>
    </xf>
    <xf numFmtId="56" fontId="11" fillId="3" borderId="2" xfId="2" applyNumberFormat="1" applyFont="1" applyFill="1" applyBorder="1" applyAlignment="1">
      <alignment horizontal="center" vertical="center"/>
    </xf>
    <xf numFmtId="0" fontId="3" fillId="0" borderId="14" xfId="0" applyFont="1" applyBorder="1" applyAlignment="1">
      <alignment horizontal="left" vertical="center"/>
    </xf>
    <xf numFmtId="0" fontId="1" fillId="0" borderId="0" xfId="2">
      <alignment vertical="center"/>
    </xf>
    <xf numFmtId="0" fontId="32" fillId="0" borderId="0" xfId="2" applyFont="1" applyAlignment="1">
      <alignment horizontal="center" vertical="center"/>
    </xf>
    <xf numFmtId="176" fontId="1" fillId="0" borderId="0" xfId="2" applyNumberFormat="1">
      <alignment vertical="center"/>
    </xf>
    <xf numFmtId="0" fontId="3" fillId="0" borderId="0" xfId="2" applyFont="1">
      <alignment vertical="center"/>
    </xf>
    <xf numFmtId="0" fontId="3" fillId="0" borderId="0" xfId="2" applyFont="1" applyAlignment="1">
      <alignment horizontal="center" vertical="center"/>
    </xf>
    <xf numFmtId="0" fontId="11" fillId="6" borderId="2" xfId="1" applyFont="1" applyFill="1" applyBorder="1" applyAlignment="1">
      <alignment horizontal="center" vertical="center"/>
    </xf>
    <xf numFmtId="0" fontId="3" fillId="3" borderId="6" xfId="2" applyFont="1" applyFill="1" applyBorder="1" applyAlignment="1">
      <alignment horizontal="center" vertical="center"/>
    </xf>
    <xf numFmtId="0" fontId="1" fillId="3" borderId="2" xfId="2" applyFill="1" applyBorder="1" applyAlignment="1">
      <alignment horizontal="center" vertical="center"/>
    </xf>
    <xf numFmtId="0" fontId="3" fillId="0" borderId="2" xfId="2" applyFont="1" applyBorder="1" applyAlignment="1">
      <alignment horizontal="center" vertical="center"/>
    </xf>
    <xf numFmtId="49" fontId="8" fillId="3" borderId="13" xfId="2" applyNumberFormat="1" applyFont="1" applyFill="1" applyBorder="1" applyAlignment="1">
      <alignment horizontal="center" vertical="center"/>
    </xf>
    <xf numFmtId="177" fontId="4" fillId="0" borderId="9" xfId="2" applyNumberFormat="1" applyFont="1" applyBorder="1" applyAlignment="1">
      <alignment horizontal="center" vertical="center"/>
    </xf>
    <xf numFmtId="177" fontId="4" fillId="0" borderId="2" xfId="2" applyNumberFormat="1" applyFont="1" applyBorder="1" applyAlignment="1">
      <alignment horizontal="center" vertical="center"/>
    </xf>
    <xf numFmtId="49" fontId="8" fillId="3" borderId="2" xfId="2" applyNumberFormat="1" applyFont="1" applyFill="1" applyBorder="1" applyAlignment="1">
      <alignment horizontal="center" vertical="center"/>
    </xf>
    <xf numFmtId="0" fontId="11" fillId="6" borderId="6" xfId="1" applyFont="1" applyFill="1" applyBorder="1" applyAlignment="1">
      <alignment horizontal="center" vertical="center"/>
    </xf>
    <xf numFmtId="0" fontId="11" fillId="0" borderId="0" xfId="2" applyFont="1" applyAlignment="1">
      <alignment horizontal="center" vertical="center"/>
    </xf>
    <xf numFmtId="49" fontId="8" fillId="0" borderId="0" xfId="2" applyNumberFormat="1" applyFont="1" applyAlignment="1">
      <alignment horizontal="center" vertical="center"/>
    </xf>
    <xf numFmtId="177" fontId="4" fillId="0" borderId="0" xfId="2" applyNumberFormat="1" applyFont="1" applyAlignment="1">
      <alignment horizontal="center" vertical="center"/>
    </xf>
    <xf numFmtId="0" fontId="3" fillId="0" borderId="0" xfId="0" applyFont="1" applyAlignment="1"/>
    <xf numFmtId="0" fontId="1" fillId="0" borderId="0" xfId="1">
      <alignment vertical="center"/>
    </xf>
    <xf numFmtId="0" fontId="32" fillId="0" borderId="0" xfId="1" applyFont="1" applyAlignment="1">
      <alignment horizontal="center" vertical="center"/>
    </xf>
    <xf numFmtId="0" fontId="1" fillId="0" borderId="0" xfId="1" applyAlignment="1">
      <alignment horizontal="center" vertical="center"/>
    </xf>
    <xf numFmtId="0" fontId="3" fillId="0" borderId="0" xfId="1" applyFont="1">
      <alignment vertical="center"/>
    </xf>
    <xf numFmtId="0" fontId="3" fillId="6" borderId="13" xfId="1" applyFont="1" applyFill="1" applyBorder="1" applyAlignment="1">
      <alignment horizontal="center" vertical="center"/>
    </xf>
    <xf numFmtId="0" fontId="3" fillId="6" borderId="3" xfId="1" applyFont="1" applyFill="1" applyBorder="1" applyAlignment="1">
      <alignment horizontal="center" vertical="center"/>
    </xf>
    <xf numFmtId="0" fontId="11" fillId="6" borderId="3" xfId="1" applyFont="1" applyFill="1" applyBorder="1" applyAlignment="1">
      <alignment horizontal="center" vertical="center"/>
    </xf>
    <xf numFmtId="0" fontId="11" fillId="6" borderId="2" xfId="1" applyFont="1" applyFill="1" applyBorder="1">
      <alignment vertical="center"/>
    </xf>
    <xf numFmtId="0" fontId="1" fillId="6" borderId="2" xfId="1" applyFill="1" applyBorder="1" applyAlignment="1">
      <alignment horizontal="center" vertical="center"/>
    </xf>
    <xf numFmtId="49" fontId="35" fillId="0" borderId="2" xfId="1" applyNumberFormat="1" applyFont="1" applyBorder="1" applyAlignment="1">
      <alignment horizontal="center" vertical="center"/>
    </xf>
    <xf numFmtId="177" fontId="1" fillId="0" borderId="2" xfId="1" applyNumberFormat="1" applyBorder="1" applyAlignment="1">
      <alignment horizontal="center" vertical="center"/>
    </xf>
    <xf numFmtId="49" fontId="11" fillId="3" borderId="2" xfId="1" applyNumberFormat="1" applyFont="1" applyFill="1" applyBorder="1" applyAlignment="1">
      <alignment horizontal="center" vertical="center"/>
    </xf>
    <xf numFmtId="49" fontId="31" fillId="0" borderId="2" xfId="1" applyNumberFormat="1" applyFont="1" applyBorder="1" applyAlignment="1">
      <alignment horizontal="center" vertical="center"/>
    </xf>
    <xf numFmtId="0" fontId="4" fillId="0" borderId="2" xfId="1" applyFont="1" applyBorder="1" applyAlignment="1">
      <alignment horizontal="center" vertical="center"/>
    </xf>
    <xf numFmtId="0" fontId="3" fillId="6" borderId="2" xfId="1" applyFont="1" applyFill="1" applyBorder="1" applyAlignment="1">
      <alignment horizontal="center" vertical="center"/>
    </xf>
    <xf numFmtId="177" fontId="1" fillId="0" borderId="7" xfId="1" applyNumberFormat="1" applyBorder="1" applyAlignment="1">
      <alignment horizontal="center" vertical="center"/>
    </xf>
    <xf numFmtId="0" fontId="11" fillId="6" borderId="13" xfId="1" applyFont="1" applyFill="1" applyBorder="1">
      <alignment vertical="center"/>
    </xf>
    <xf numFmtId="177" fontId="1" fillId="0" borderId="3" xfId="1" applyNumberFormat="1" applyBorder="1" applyAlignment="1">
      <alignment horizontal="center" vertical="center"/>
    </xf>
    <xf numFmtId="0" fontId="18" fillId="0" borderId="0" xfId="1" applyFont="1" applyAlignment="1"/>
    <xf numFmtId="49" fontId="15" fillId="0" borderId="0" xfId="0" applyNumberFormat="1" applyFont="1" applyAlignment="1">
      <alignment horizontal="center" vertical="center"/>
    </xf>
    <xf numFmtId="49" fontId="15" fillId="0" borderId="0" xfId="1" applyNumberFormat="1" applyFont="1" applyAlignment="1">
      <alignment horizontal="center" vertical="center"/>
    </xf>
    <xf numFmtId="49" fontId="7" fillId="0" borderId="27" xfId="0" applyNumberFormat="1" applyFont="1" applyBorder="1" applyAlignment="1">
      <alignment horizontal="center" vertical="center"/>
    </xf>
    <xf numFmtId="49" fontId="7" fillId="3" borderId="11" xfId="0" applyNumberFormat="1" applyFont="1" applyFill="1" applyBorder="1" applyAlignment="1">
      <alignment horizontal="center" vertical="center"/>
    </xf>
    <xf numFmtId="49" fontId="7" fillId="3" borderId="2" xfId="0" applyNumberFormat="1" applyFont="1" applyFill="1" applyBorder="1" applyAlignment="1">
      <alignment horizontal="center" vertical="center"/>
    </xf>
    <xf numFmtId="49" fontId="7" fillId="3" borderId="13" xfId="0" applyNumberFormat="1" applyFont="1" applyFill="1" applyBorder="1" applyAlignment="1">
      <alignment horizontal="center" vertical="center"/>
    </xf>
    <xf numFmtId="49" fontId="7" fillId="3" borderId="28" xfId="0" applyNumberFormat="1" applyFont="1" applyFill="1" applyBorder="1" applyAlignment="1">
      <alignment horizontal="center" vertical="center"/>
    </xf>
    <xf numFmtId="49" fontId="7" fillId="0" borderId="2" xfId="2" applyNumberFormat="1" applyFont="1" applyBorder="1" applyAlignment="1">
      <alignment horizontal="center" vertical="center"/>
    </xf>
    <xf numFmtId="49" fontId="7" fillId="0" borderId="9" xfId="2" applyNumberFormat="1" applyFont="1" applyBorder="1" applyAlignment="1">
      <alignment horizontal="center" vertical="center"/>
    </xf>
    <xf numFmtId="49" fontId="7" fillId="3" borderId="13" xfId="2" applyNumberFormat="1" applyFont="1" applyFill="1" applyBorder="1" applyAlignment="1">
      <alignment horizontal="center" vertical="center"/>
    </xf>
    <xf numFmtId="49" fontId="36" fillId="0" borderId="2" xfId="0" applyNumberFormat="1" applyFont="1" applyBorder="1" applyAlignment="1">
      <alignment horizontal="center" vertical="center"/>
    </xf>
    <xf numFmtId="49" fontId="3" fillId="0" borderId="2" xfId="1" applyNumberFormat="1" applyFont="1" applyBorder="1" applyAlignment="1">
      <alignment horizontal="center" vertical="center"/>
    </xf>
    <xf numFmtId="49" fontId="16" fillId="0" borderId="2" xfId="1" applyNumberFormat="1" applyFont="1" applyBorder="1" applyAlignment="1">
      <alignment horizontal="center" vertical="center"/>
    </xf>
    <xf numFmtId="49" fontId="3" fillId="3" borderId="2" xfId="1" applyNumberFormat="1" applyFont="1" applyFill="1" applyBorder="1" applyAlignment="1">
      <alignment horizontal="center" vertical="center"/>
    </xf>
    <xf numFmtId="49" fontId="7" fillId="15" borderId="2" xfId="2" applyNumberFormat="1" applyFont="1" applyFill="1" applyBorder="1" applyAlignment="1">
      <alignment horizontal="center" vertical="center"/>
    </xf>
    <xf numFmtId="49" fontId="29" fillId="0" borderId="9" xfId="0" applyNumberFormat="1" applyFont="1" applyBorder="1" applyAlignment="1">
      <alignment horizontal="center" vertical="center"/>
    </xf>
    <xf numFmtId="0" fontId="4" fillId="0" borderId="20" xfId="0" applyFont="1" applyBorder="1" applyAlignment="1">
      <alignment horizontal="center" vertical="center"/>
    </xf>
    <xf numFmtId="49" fontId="8" fillId="3" borderId="8" xfId="2" applyNumberFormat="1" applyFont="1" applyFill="1" applyBorder="1" applyAlignment="1">
      <alignment horizontal="center" vertical="center"/>
    </xf>
    <xf numFmtId="49" fontId="38" fillId="0" borderId="2" xfId="0" applyNumberFormat="1" applyFont="1" applyBorder="1" applyAlignment="1">
      <alignment horizontal="center" vertical="center"/>
    </xf>
    <xf numFmtId="0" fontId="1" fillId="3" borderId="2" xfId="0" applyFont="1" applyFill="1" applyBorder="1" applyAlignment="1">
      <alignment horizontal="center" vertical="center"/>
    </xf>
    <xf numFmtId="0" fontId="37" fillId="0" borderId="2" xfId="0" applyFont="1" applyBorder="1" applyAlignment="1">
      <alignment horizontal="center" vertical="center"/>
    </xf>
    <xf numFmtId="49" fontId="1" fillId="3" borderId="2" xfId="0" applyNumberFormat="1" applyFont="1" applyFill="1" applyBorder="1" applyAlignment="1">
      <alignment horizontal="left" vertical="center"/>
    </xf>
    <xf numFmtId="0" fontId="6" fillId="0" borderId="2" xfId="0" applyFont="1" applyBorder="1" applyAlignment="1">
      <alignment horizontal="center" vertical="center"/>
    </xf>
    <xf numFmtId="20" fontId="1" fillId="0" borderId="0" xfId="0" applyNumberFormat="1" applyFont="1">
      <alignment vertical="center"/>
    </xf>
    <xf numFmtId="0" fontId="5" fillId="3" borderId="9" xfId="0" applyFont="1" applyFill="1" applyBorder="1" applyAlignment="1">
      <alignment horizontal="center" vertical="center"/>
    </xf>
    <xf numFmtId="49" fontId="14" fillId="3" borderId="27" xfId="0" applyNumberFormat="1" applyFont="1" applyFill="1" applyBorder="1">
      <alignment vertical="center"/>
    </xf>
    <xf numFmtId="49" fontId="39" fillId="0" borderId="2" xfId="0" applyNumberFormat="1" applyFont="1" applyBorder="1" applyAlignment="1">
      <alignment horizontal="center" vertical="center"/>
    </xf>
    <xf numFmtId="49" fontId="39" fillId="15" borderId="2" xfId="0" applyNumberFormat="1" applyFont="1" applyFill="1" applyBorder="1" applyAlignment="1">
      <alignment horizontal="center" vertical="center"/>
    </xf>
    <xf numFmtId="49" fontId="39" fillId="3" borderId="2" xfId="0" applyNumberFormat="1" applyFont="1" applyFill="1" applyBorder="1" applyAlignment="1">
      <alignment horizontal="center" vertical="center"/>
    </xf>
    <xf numFmtId="56" fontId="3" fillId="2" borderId="14" xfId="0" applyNumberFormat="1" applyFont="1" applyFill="1" applyBorder="1" applyAlignment="1">
      <alignment horizontal="center" vertical="center"/>
    </xf>
    <xf numFmtId="49" fontId="5" fillId="15" borderId="32" xfId="0" applyNumberFormat="1" applyFont="1" applyFill="1" applyBorder="1" applyAlignment="1">
      <alignment horizontal="center" vertical="center"/>
    </xf>
    <xf numFmtId="49" fontId="5" fillId="0" borderId="34" xfId="0" applyNumberFormat="1" applyFont="1" applyBorder="1" applyAlignment="1">
      <alignment horizontal="center" vertical="center"/>
    </xf>
    <xf numFmtId="49" fontId="16" fillId="0" borderId="27" xfId="0" applyNumberFormat="1" applyFont="1" applyBorder="1" applyAlignment="1">
      <alignment horizontal="center" vertical="center"/>
    </xf>
    <xf numFmtId="0" fontId="8" fillId="0" borderId="14" xfId="0" applyFont="1" applyBorder="1" applyAlignment="1"/>
    <xf numFmtId="0" fontId="8" fillId="0" borderId="0" xfId="0" applyFont="1" applyAlignment="1"/>
    <xf numFmtId="0" fontId="24" fillId="0" borderId="14" xfId="0" applyFont="1" applyBorder="1" applyAlignment="1"/>
    <xf numFmtId="0" fontId="24" fillId="0" borderId="0" xfId="0" applyFont="1" applyAlignment="1"/>
    <xf numFmtId="0" fontId="15" fillId="0" borderId="14" xfId="0" applyFont="1" applyBorder="1" applyAlignment="1"/>
    <xf numFmtId="0" fontId="11" fillId="0" borderId="14" xfId="0" applyFont="1" applyBorder="1" applyAlignment="1">
      <alignment horizontal="left"/>
    </xf>
    <xf numFmtId="0" fontId="31" fillId="0" borderId="14" xfId="0" applyFont="1" applyBorder="1">
      <alignment vertical="center"/>
    </xf>
    <xf numFmtId="49" fontId="24" fillId="0" borderId="2" xfId="0" applyNumberFormat="1" applyFont="1" applyBorder="1" applyAlignment="1">
      <alignment horizontal="center" vertical="center"/>
    </xf>
    <xf numFmtId="49" fontId="5" fillId="0" borderId="28" xfId="0" applyNumberFormat="1" applyFont="1" applyBorder="1" applyAlignment="1">
      <alignment horizontal="center" vertical="center"/>
    </xf>
    <xf numFmtId="0" fontId="1" fillId="0" borderId="27" xfId="0" applyFont="1" applyBorder="1" applyAlignment="1">
      <alignment horizontal="center" vertical="center"/>
    </xf>
    <xf numFmtId="49" fontId="5" fillId="2" borderId="32" xfId="0" applyNumberFormat="1" applyFont="1" applyFill="1" applyBorder="1" applyAlignment="1">
      <alignment horizontal="center" vertical="center"/>
    </xf>
    <xf numFmtId="49" fontId="7" fillId="0" borderId="32" xfId="0" applyNumberFormat="1" applyFont="1" applyBorder="1" applyAlignment="1">
      <alignment horizontal="center" vertical="center"/>
    </xf>
    <xf numFmtId="0" fontId="1" fillId="0" borderId="32" xfId="0" applyFont="1" applyBorder="1" applyAlignment="1">
      <alignment horizontal="center" vertical="center"/>
    </xf>
    <xf numFmtId="49" fontId="23" fillId="0" borderId="32" xfId="0" applyNumberFormat="1" applyFont="1" applyBorder="1" applyAlignment="1">
      <alignment horizontal="center" vertical="center"/>
    </xf>
    <xf numFmtId="49" fontId="40" fillId="0" borderId="2" xfId="0" applyNumberFormat="1" applyFont="1" applyBorder="1" applyAlignment="1">
      <alignment horizontal="center" vertical="center"/>
    </xf>
    <xf numFmtId="49" fontId="24" fillId="0" borderId="9" xfId="0" applyNumberFormat="1" applyFont="1" applyBorder="1" applyAlignment="1">
      <alignment horizontal="center" vertical="center"/>
    </xf>
    <xf numFmtId="0" fontId="5" fillId="6" borderId="6" xfId="0" applyFont="1" applyFill="1" applyBorder="1" applyAlignment="1">
      <alignment horizontal="center" vertical="center"/>
    </xf>
    <xf numFmtId="49" fontId="14" fillId="3" borderId="6" xfId="0" applyNumberFormat="1" applyFont="1" applyFill="1" applyBorder="1">
      <alignment vertical="center"/>
    </xf>
    <xf numFmtId="49" fontId="14" fillId="3" borderId="8" xfId="0" applyNumberFormat="1" applyFont="1" applyFill="1" applyBorder="1">
      <alignment vertical="center"/>
    </xf>
    <xf numFmtId="0" fontId="5" fillId="3" borderId="32" xfId="0" applyFont="1" applyFill="1" applyBorder="1" applyAlignment="1">
      <alignment horizontal="center" vertical="center"/>
    </xf>
    <xf numFmtId="49" fontId="5" fillId="0" borderId="33" xfId="0" applyNumberFormat="1" applyFont="1" applyBorder="1" applyAlignment="1">
      <alignment horizontal="center" vertical="center"/>
    </xf>
    <xf numFmtId="49" fontId="9" fillId="0" borderId="27" xfId="0" applyNumberFormat="1" applyFont="1" applyBorder="1" applyAlignment="1">
      <alignment horizontal="center" vertical="center"/>
    </xf>
    <xf numFmtId="0" fontId="7" fillId="2" borderId="27" xfId="0" applyFont="1" applyFill="1" applyBorder="1" applyAlignment="1">
      <alignment horizontal="center" vertical="center"/>
    </xf>
    <xf numFmtId="49" fontId="7" fillId="3" borderId="27" xfId="0" applyNumberFormat="1" applyFont="1" applyFill="1" applyBorder="1" applyAlignment="1">
      <alignment horizontal="center" vertical="center"/>
    </xf>
    <xf numFmtId="49" fontId="29" fillId="0" borderId="2" xfId="0" applyNumberFormat="1" applyFont="1" applyBorder="1" applyAlignment="1">
      <alignment horizontal="center" vertical="center"/>
    </xf>
    <xf numFmtId="49" fontId="9" fillId="0" borderId="28" xfId="0" applyNumberFormat="1" applyFont="1" applyBorder="1" applyAlignment="1">
      <alignment horizontal="center" vertical="center"/>
    </xf>
    <xf numFmtId="0" fontId="3" fillId="3" borderId="2" xfId="0" applyFont="1" applyFill="1" applyBorder="1" applyAlignment="1">
      <alignment horizontal="center" vertical="center"/>
    </xf>
    <xf numFmtId="49" fontId="31" fillId="0" borderId="2" xfId="0" applyNumberFormat="1" applyFont="1" applyBorder="1" applyAlignment="1">
      <alignment horizontal="center" vertical="center"/>
    </xf>
    <xf numFmtId="0" fontId="29" fillId="0" borderId="2" xfId="0" applyFont="1" applyBorder="1" applyAlignment="1">
      <alignment horizontal="center" vertical="center"/>
    </xf>
    <xf numFmtId="49" fontId="16" fillId="15" borderId="27" xfId="0" applyNumberFormat="1" applyFont="1" applyFill="1" applyBorder="1" applyAlignment="1">
      <alignment horizontal="center" vertical="center"/>
    </xf>
    <xf numFmtId="0" fontId="19" fillId="0" borderId="0" xfId="0" applyFont="1" applyAlignment="1">
      <alignment horizontal="center" vertical="center"/>
    </xf>
    <xf numFmtId="49" fontId="6" fillId="0" borderId="2" xfId="0" applyNumberFormat="1" applyFont="1" applyBorder="1" applyAlignment="1">
      <alignment horizontal="center" vertical="center"/>
    </xf>
    <xf numFmtId="0" fontId="22" fillId="5" borderId="0" xfId="0" applyFont="1" applyFill="1" applyAlignment="1">
      <alignment horizontal="center" vertical="center"/>
    </xf>
    <xf numFmtId="176" fontId="22" fillId="5" borderId="0" xfId="0" applyNumberFormat="1" applyFont="1" applyFill="1" applyAlignment="1">
      <alignment horizontal="center" vertical="center"/>
    </xf>
    <xf numFmtId="0" fontId="2" fillId="5" borderId="0" xfId="0" applyFont="1" applyFill="1" applyAlignment="1">
      <alignment horizontal="center" vertical="center"/>
    </xf>
    <xf numFmtId="176" fontId="2" fillId="5" borderId="0" xfId="0" applyNumberFormat="1" applyFont="1" applyFill="1" applyAlignment="1">
      <alignment horizontal="center" vertical="center"/>
    </xf>
    <xf numFmtId="0" fontId="4" fillId="0" borderId="46" xfId="0" applyFont="1" applyBorder="1" applyAlignment="1">
      <alignment horizontal="center" vertical="center"/>
    </xf>
    <xf numFmtId="0" fontId="4" fillId="0" borderId="21" xfId="0" applyFont="1" applyBorder="1" applyAlignment="1">
      <alignment horizontal="center" vertical="center"/>
    </xf>
    <xf numFmtId="0" fontId="7" fillId="0" borderId="20" xfId="0" applyFont="1" applyBorder="1" applyAlignment="1">
      <alignment horizontal="center" vertical="center"/>
    </xf>
    <xf numFmtId="0" fontId="20" fillId="0" borderId="0" xfId="0" applyFont="1" applyAlignment="1">
      <alignment horizontal="center" vertical="center"/>
    </xf>
    <xf numFmtId="176" fontId="20" fillId="0" borderId="0" xfId="0" applyNumberFormat="1" applyFont="1" applyAlignment="1">
      <alignment horizontal="center" vertical="center"/>
    </xf>
    <xf numFmtId="49" fontId="24" fillId="0" borderId="27" xfId="0" applyNumberFormat="1" applyFont="1" applyBorder="1" applyAlignment="1">
      <alignment horizontal="center" vertical="center"/>
    </xf>
    <xf numFmtId="49" fontId="39" fillId="0" borderId="25" xfId="0" applyNumberFormat="1" applyFont="1" applyBorder="1" applyAlignment="1">
      <alignment horizontal="center" vertical="center"/>
    </xf>
    <xf numFmtId="49" fontId="7" fillId="0" borderId="34" xfId="0" applyNumberFormat="1" applyFont="1" applyBorder="1" applyAlignment="1">
      <alignment horizontal="center" vertical="center"/>
    </xf>
    <xf numFmtId="49" fontId="41" fillId="0" borderId="2" xfId="0" applyNumberFormat="1" applyFont="1" applyBorder="1" applyAlignment="1">
      <alignment horizontal="center" vertical="center"/>
    </xf>
    <xf numFmtId="49" fontId="33" fillId="0" borderId="9" xfId="0" applyNumberFormat="1" applyFont="1" applyBorder="1" applyAlignment="1">
      <alignment horizontal="center" vertical="center"/>
    </xf>
    <xf numFmtId="49" fontId="42" fillId="0" borderId="2" xfId="0" applyNumberFormat="1" applyFont="1" applyBorder="1" applyAlignment="1">
      <alignment horizontal="center" vertical="center"/>
    </xf>
    <xf numFmtId="49" fontId="14" fillId="0" borderId="2" xfId="0" applyNumberFormat="1" applyFont="1" applyBorder="1">
      <alignment vertical="center"/>
    </xf>
    <xf numFmtId="49" fontId="14" fillId="2" borderId="9" xfId="0" applyNumberFormat="1" applyFont="1" applyFill="1" applyBorder="1">
      <alignment vertical="center"/>
    </xf>
    <xf numFmtId="0" fontId="5" fillId="20" borderId="2" xfId="0" applyFont="1" applyFill="1" applyBorder="1" applyAlignment="1">
      <alignment horizontal="center" vertical="center"/>
    </xf>
    <xf numFmtId="49" fontId="5" fillId="15" borderId="34" xfId="0" applyNumberFormat="1" applyFont="1" applyFill="1" applyBorder="1" applyAlignment="1">
      <alignment horizontal="center" vertical="center"/>
    </xf>
    <xf numFmtId="49" fontId="35" fillId="15" borderId="2" xfId="1" applyNumberFormat="1" applyFont="1" applyFill="1" applyBorder="1" applyAlignment="1">
      <alignment horizontal="center" vertical="center"/>
    </xf>
    <xf numFmtId="0" fontId="25" fillId="15" borderId="10" xfId="0" applyFont="1" applyFill="1" applyBorder="1" applyAlignment="1">
      <alignment horizontal="left" vertical="center"/>
    </xf>
    <xf numFmtId="0" fontId="25" fillId="15" borderId="11" xfId="0" applyFont="1" applyFill="1" applyBorder="1" applyAlignment="1">
      <alignment horizontal="left" vertical="center"/>
    </xf>
    <xf numFmtId="0" fontId="43" fillId="0" borderId="0" xfId="0" applyFont="1">
      <alignment vertical="center"/>
    </xf>
    <xf numFmtId="0" fontId="26" fillId="0" borderId="0" xfId="0" applyFont="1">
      <alignment vertical="center"/>
    </xf>
    <xf numFmtId="176" fontId="3" fillId="19" borderId="3" xfId="1" applyNumberFormat="1" applyFont="1" applyFill="1" applyBorder="1">
      <alignment vertical="center"/>
    </xf>
    <xf numFmtId="176" fontId="11" fillId="19" borderId="2" xfId="1" applyNumberFormat="1" applyFont="1" applyFill="1" applyBorder="1" applyAlignment="1">
      <alignment horizontal="center" vertical="center"/>
    </xf>
    <xf numFmtId="49" fontId="33" fillId="15" borderId="2" xfId="0" applyNumberFormat="1" applyFont="1" applyFill="1" applyBorder="1" applyAlignment="1">
      <alignment horizontal="center" vertical="center"/>
    </xf>
    <xf numFmtId="49" fontId="7" fillId="15" borderId="32" xfId="0" applyNumberFormat="1" applyFont="1" applyFill="1" applyBorder="1" applyAlignment="1">
      <alignment horizontal="center" vertical="center"/>
    </xf>
    <xf numFmtId="49" fontId="7" fillId="3" borderId="33" xfId="0" applyNumberFormat="1" applyFont="1" applyFill="1" applyBorder="1" applyAlignment="1">
      <alignment horizontal="center" vertical="center"/>
    </xf>
    <xf numFmtId="176" fontId="1" fillId="0" borderId="2" xfId="0" applyNumberFormat="1" applyFont="1" applyBorder="1" applyAlignment="1">
      <alignment horizontal="center" vertical="center" wrapText="1"/>
    </xf>
    <xf numFmtId="0" fontId="1" fillId="0" borderId="2" xfId="0" applyFont="1" applyBorder="1" applyAlignment="1">
      <alignment horizontal="center" vertical="center"/>
    </xf>
    <xf numFmtId="0" fontId="19" fillId="0" borderId="0" xfId="0" applyFont="1" applyAlignment="1">
      <alignment horizontal="center" vertical="center"/>
    </xf>
    <xf numFmtId="0" fontId="20" fillId="12" borderId="1" xfId="0" applyFont="1" applyFill="1" applyBorder="1" applyAlignment="1">
      <alignment horizontal="center" vertical="center"/>
    </xf>
    <xf numFmtId="0" fontId="20" fillId="12" borderId="4" xfId="0" applyFont="1" applyFill="1" applyBorder="1" applyAlignment="1">
      <alignment horizontal="center" vertical="center"/>
    </xf>
    <xf numFmtId="176" fontId="20" fillId="12" borderId="4" xfId="0" applyNumberFormat="1" applyFont="1" applyFill="1" applyBorder="1" applyAlignment="1">
      <alignment horizontal="center" vertical="center"/>
    </xf>
    <xf numFmtId="0" fontId="20" fillId="12" borderId="5" xfId="0" applyFont="1" applyFill="1" applyBorder="1" applyAlignment="1">
      <alignment horizontal="center" vertical="center"/>
    </xf>
    <xf numFmtId="56" fontId="3" fillId="2" borderId="6" xfId="0" applyNumberFormat="1" applyFont="1" applyFill="1" applyBorder="1" applyAlignment="1">
      <alignment horizontal="center" vertical="center" wrapText="1"/>
    </xf>
    <xf numFmtId="56" fontId="3" fillId="2" borderId="9" xfId="0" applyNumberFormat="1" applyFont="1" applyFill="1" applyBorder="1" applyAlignment="1">
      <alignment horizontal="center" vertical="center"/>
    </xf>
    <xf numFmtId="0" fontId="1" fillId="2" borderId="7" xfId="0" applyFont="1" applyFill="1" applyBorder="1" applyAlignment="1">
      <alignment horizontal="center" vertical="center"/>
    </xf>
    <xf numFmtId="0" fontId="1" fillId="2" borderId="8" xfId="0" applyFont="1" applyFill="1" applyBorder="1" applyAlignment="1">
      <alignment horizontal="center" vertical="center"/>
    </xf>
    <xf numFmtId="0" fontId="1" fillId="2" borderId="10" xfId="0" applyFont="1" applyFill="1" applyBorder="1" applyAlignment="1">
      <alignment horizontal="center" vertical="center"/>
    </xf>
    <xf numFmtId="0" fontId="1" fillId="2" borderId="11" xfId="0" applyFont="1" applyFill="1" applyBorder="1" applyAlignment="1">
      <alignment horizontal="center" vertical="center"/>
    </xf>
    <xf numFmtId="0" fontId="1" fillId="0" borderId="7" xfId="0" applyFont="1" applyBorder="1" applyAlignment="1">
      <alignment horizontal="center" vertical="center"/>
    </xf>
    <xf numFmtId="0" fontId="1" fillId="0" borderId="8" xfId="0" applyFont="1" applyBorder="1" applyAlignment="1">
      <alignment horizontal="center" vertical="center"/>
    </xf>
    <xf numFmtId="49" fontId="12" fillId="11" borderId="2" xfId="0" applyNumberFormat="1" applyFont="1" applyFill="1" applyBorder="1" applyAlignment="1">
      <alignment horizontal="center" vertical="center"/>
    </xf>
    <xf numFmtId="0" fontId="25" fillId="15" borderId="14" xfId="0" applyFont="1" applyFill="1" applyBorder="1" applyAlignment="1">
      <alignment horizontal="left" vertical="center"/>
    </xf>
    <xf numFmtId="0" fontId="25" fillId="15" borderId="16" xfId="0" applyFont="1" applyFill="1" applyBorder="1" applyAlignment="1">
      <alignment horizontal="left" vertical="center"/>
    </xf>
    <xf numFmtId="0" fontId="28" fillId="0" borderId="14" xfId="0" applyFont="1" applyBorder="1" applyAlignment="1">
      <alignment horizontal="left" vertical="center"/>
    </xf>
    <xf numFmtId="0" fontId="28" fillId="0" borderId="0" xfId="0" applyFont="1" applyAlignment="1">
      <alignment horizontal="left" vertical="center"/>
    </xf>
    <xf numFmtId="0" fontId="16" fillId="0" borderId="0" xfId="0" applyFont="1" applyAlignment="1">
      <alignment horizontal="right" vertical="center"/>
    </xf>
    <xf numFmtId="0" fontId="26" fillId="9" borderId="7" xfId="0" applyFont="1" applyFill="1" applyBorder="1" applyAlignment="1">
      <alignment horizontal="center" vertical="center"/>
    </xf>
    <xf numFmtId="0" fontId="26" fillId="9" borderId="8" xfId="0" applyFont="1" applyFill="1" applyBorder="1" applyAlignment="1">
      <alignment horizontal="center" vertical="center"/>
    </xf>
    <xf numFmtId="0" fontId="26" fillId="3" borderId="0" xfId="0" applyFont="1" applyFill="1" applyAlignment="1">
      <alignment horizontal="center" vertical="center"/>
    </xf>
    <xf numFmtId="0" fontId="26" fillId="0" borderId="0" xfId="0" applyFont="1" applyAlignment="1">
      <alignment horizontal="left" vertical="center"/>
    </xf>
    <xf numFmtId="0" fontId="44" fillId="18" borderId="7" xfId="0" applyFont="1" applyFill="1" applyBorder="1" applyAlignment="1">
      <alignment horizontal="left" vertical="center" wrapText="1"/>
    </xf>
    <xf numFmtId="0" fontId="44" fillId="18" borderId="8" xfId="0" applyFont="1" applyFill="1" applyBorder="1" applyAlignment="1">
      <alignment horizontal="left" vertical="center"/>
    </xf>
    <xf numFmtId="0" fontId="44" fillId="18" borderId="14" xfId="0" applyFont="1" applyFill="1" applyBorder="1" applyAlignment="1">
      <alignment horizontal="left" vertical="center"/>
    </xf>
    <xf numFmtId="0" fontId="44" fillId="18" borderId="16" xfId="0" applyFont="1" applyFill="1" applyBorder="1" applyAlignment="1">
      <alignment horizontal="left" vertical="center"/>
    </xf>
    <xf numFmtId="0" fontId="44" fillId="18" borderId="10" xfId="0" applyFont="1" applyFill="1" applyBorder="1" applyAlignment="1">
      <alignment horizontal="left" vertical="center"/>
    </xf>
    <xf numFmtId="0" fontId="44" fillId="18" borderId="11" xfId="0" applyFont="1" applyFill="1" applyBorder="1" applyAlignment="1">
      <alignment horizontal="left" vertical="center"/>
    </xf>
    <xf numFmtId="0" fontId="28" fillId="18" borderId="14" xfId="0" applyFont="1" applyFill="1" applyBorder="1" applyAlignment="1">
      <alignment horizontal="left" vertical="center"/>
    </xf>
    <xf numFmtId="0" fontId="28" fillId="18" borderId="0" xfId="0" applyFont="1" applyFill="1" applyAlignment="1">
      <alignment horizontal="left" vertical="center"/>
    </xf>
    <xf numFmtId="0" fontId="26" fillId="0" borderId="14" xfId="0" applyFont="1" applyBorder="1" applyAlignment="1">
      <alignment horizontal="left" vertical="center"/>
    </xf>
    <xf numFmtId="0" fontId="27" fillId="15" borderId="10" xfId="0" applyFont="1" applyFill="1" applyBorder="1" applyAlignment="1">
      <alignment horizontal="left" vertical="center"/>
    </xf>
    <xf numFmtId="0" fontId="27" fillId="15" borderId="11" xfId="0" applyFont="1" applyFill="1" applyBorder="1" applyAlignment="1">
      <alignment horizontal="left" vertical="center"/>
    </xf>
    <xf numFmtId="0" fontId="26" fillId="9" borderId="3" xfId="0" applyFont="1" applyFill="1" applyBorder="1" applyAlignment="1">
      <alignment horizontal="center" vertical="center"/>
    </xf>
    <xf numFmtId="0" fontId="26" fillId="9" borderId="13" xfId="0" applyFont="1" applyFill="1" applyBorder="1" applyAlignment="1">
      <alignment horizontal="center" vertical="center"/>
    </xf>
    <xf numFmtId="0" fontId="2" fillId="16" borderId="1" xfId="0" applyFont="1" applyFill="1" applyBorder="1" applyAlignment="1">
      <alignment horizontal="center" vertical="center"/>
    </xf>
    <xf numFmtId="0" fontId="2" fillId="16" borderId="4" xfId="0" applyFont="1" applyFill="1" applyBorder="1" applyAlignment="1">
      <alignment horizontal="center" vertical="center"/>
    </xf>
    <xf numFmtId="176" fontId="2" fillId="16" borderId="4" xfId="0" applyNumberFormat="1" applyFont="1" applyFill="1" applyBorder="1" applyAlignment="1">
      <alignment horizontal="center" vertical="center"/>
    </xf>
    <xf numFmtId="0" fontId="2" fillId="16" borderId="5" xfId="0" applyFont="1" applyFill="1" applyBorder="1" applyAlignment="1">
      <alignment horizontal="center" vertical="center"/>
    </xf>
    <xf numFmtId="176" fontId="4" fillId="0" borderId="10" xfId="2" applyNumberFormat="1" applyFont="1" applyBorder="1" applyAlignment="1">
      <alignment horizontal="center" vertical="center"/>
    </xf>
    <xf numFmtId="176" fontId="4" fillId="0" borderId="11" xfId="2" applyNumberFormat="1" applyFont="1" applyBorder="1" applyAlignment="1">
      <alignment horizontal="center" vertical="center"/>
    </xf>
    <xf numFmtId="0" fontId="1" fillId="0" borderId="0" xfId="2" applyAlignment="1">
      <alignment horizontal="center" vertical="center"/>
    </xf>
    <xf numFmtId="0" fontId="1" fillId="0" borderId="41" xfId="2" applyBorder="1" applyAlignment="1">
      <alignment horizontal="center" vertical="center"/>
    </xf>
    <xf numFmtId="0" fontId="1" fillId="0" borderId="43" xfId="2" applyBorder="1" applyAlignment="1">
      <alignment horizontal="center" vertical="center"/>
    </xf>
    <xf numFmtId="0" fontId="1" fillId="0" borderId="44" xfId="2" applyBorder="1" applyAlignment="1">
      <alignment horizontal="center" vertical="center"/>
    </xf>
    <xf numFmtId="0" fontId="1" fillId="0" borderId="45" xfId="2" applyBorder="1" applyAlignment="1">
      <alignment horizontal="center" vertical="center"/>
    </xf>
    <xf numFmtId="56" fontId="11" fillId="3" borderId="2" xfId="1" applyNumberFormat="1" applyFont="1" applyFill="1" applyBorder="1" applyAlignment="1">
      <alignment horizontal="center" vertical="center" wrapText="1"/>
    </xf>
    <xf numFmtId="56" fontId="11" fillId="3" borderId="2" xfId="1" applyNumberFormat="1" applyFont="1" applyFill="1" applyBorder="1" applyAlignment="1">
      <alignment horizontal="center" vertical="center"/>
    </xf>
    <xf numFmtId="176" fontId="1" fillId="3" borderId="2" xfId="1" applyNumberFormat="1" applyFill="1" applyBorder="1" applyAlignment="1">
      <alignment horizontal="center" vertical="center"/>
    </xf>
    <xf numFmtId="0" fontId="1" fillId="3" borderId="2" xfId="1" applyFill="1" applyBorder="1" applyAlignment="1">
      <alignment horizontal="center" vertical="center"/>
    </xf>
    <xf numFmtId="176" fontId="1" fillId="3" borderId="3" xfId="2" applyNumberFormat="1" applyFill="1" applyBorder="1" applyAlignment="1">
      <alignment horizontal="center" vertical="center"/>
    </xf>
    <xf numFmtId="176" fontId="1" fillId="3" borderId="13" xfId="2" applyNumberFormat="1" applyFill="1" applyBorder="1" applyAlignment="1">
      <alignment horizontal="center" vertical="center"/>
    </xf>
    <xf numFmtId="0" fontId="3" fillId="17" borderId="7" xfId="0" applyFont="1" applyFill="1" applyBorder="1" applyAlignment="1">
      <alignment horizontal="center" vertical="center"/>
    </xf>
    <xf numFmtId="0" fontId="3" fillId="17" borderId="8" xfId="0" applyFont="1" applyFill="1" applyBorder="1" applyAlignment="1">
      <alignment horizontal="center" vertical="center"/>
    </xf>
    <xf numFmtId="0" fontId="3" fillId="17" borderId="10" xfId="0" applyFont="1" applyFill="1" applyBorder="1" applyAlignment="1">
      <alignment horizontal="center" vertical="center"/>
    </xf>
    <xf numFmtId="0" fontId="3" fillId="17" borderId="11" xfId="0" applyFont="1" applyFill="1" applyBorder="1" applyAlignment="1">
      <alignment horizontal="center" vertical="center"/>
    </xf>
    <xf numFmtId="0" fontId="3" fillId="15" borderId="7" xfId="0" applyFont="1" applyFill="1" applyBorder="1" applyAlignment="1">
      <alignment horizontal="left" vertical="center"/>
    </xf>
    <xf numFmtId="0" fontId="3" fillId="15" borderId="15" xfId="0" applyFont="1" applyFill="1" applyBorder="1" applyAlignment="1">
      <alignment horizontal="left" vertical="center"/>
    </xf>
    <xf numFmtId="0" fontId="3" fillId="15" borderId="8" xfId="0" applyFont="1" applyFill="1" applyBorder="1" applyAlignment="1">
      <alignment horizontal="left" vertical="center"/>
    </xf>
    <xf numFmtId="0" fontId="3" fillId="15" borderId="10" xfId="0" applyFont="1" applyFill="1" applyBorder="1" applyAlignment="1">
      <alignment horizontal="left" vertical="center"/>
    </xf>
    <xf numFmtId="0" fontId="3" fillId="15" borderId="37" xfId="0" applyFont="1" applyFill="1" applyBorder="1" applyAlignment="1">
      <alignment horizontal="left" vertical="center"/>
    </xf>
    <xf numFmtId="0" fontId="3" fillId="15" borderId="11" xfId="0" applyFont="1" applyFill="1" applyBorder="1" applyAlignment="1">
      <alignment horizontal="left" vertical="center"/>
    </xf>
    <xf numFmtId="176" fontId="30" fillId="0" borderId="15" xfId="2" applyNumberFormat="1" applyFont="1" applyBorder="1" applyAlignment="1">
      <alignment horizontal="right" vertical="top"/>
    </xf>
    <xf numFmtId="176" fontId="30" fillId="0" borderId="0" xfId="2" applyNumberFormat="1" applyFont="1" applyAlignment="1">
      <alignment horizontal="right" vertical="top"/>
    </xf>
    <xf numFmtId="0" fontId="17" fillId="15" borderId="1" xfId="0" applyFont="1" applyFill="1" applyBorder="1" applyAlignment="1">
      <alignment horizontal="center" vertical="center"/>
    </xf>
    <xf numFmtId="0" fontId="17" fillId="15" borderId="4" xfId="0" applyFont="1" applyFill="1" applyBorder="1" applyAlignment="1">
      <alignment horizontal="center" vertical="center"/>
    </xf>
    <xf numFmtId="0" fontId="17" fillId="15" borderId="5" xfId="0" applyFont="1" applyFill="1" applyBorder="1" applyAlignment="1">
      <alignment horizontal="center" vertical="center"/>
    </xf>
    <xf numFmtId="0" fontId="37" fillId="0" borderId="0" xfId="0" applyFont="1" applyAlignment="1">
      <alignment horizontal="left" vertical="center"/>
    </xf>
    <xf numFmtId="0" fontId="37" fillId="0" borderId="37" xfId="0" applyFont="1" applyBorder="1" applyAlignment="1">
      <alignment horizontal="left" vertical="center"/>
    </xf>
    <xf numFmtId="176" fontId="1" fillId="0" borderId="3" xfId="0" applyNumberFormat="1" applyFont="1" applyBorder="1" applyAlignment="1">
      <alignment horizontal="center" vertical="center" wrapText="1"/>
    </xf>
    <xf numFmtId="176" fontId="1" fillId="0" borderId="13" xfId="0" applyNumberFormat="1" applyFont="1" applyBorder="1" applyAlignment="1">
      <alignment horizontal="center" vertical="center" wrapText="1"/>
    </xf>
    <xf numFmtId="176" fontId="1" fillId="0" borderId="2" xfId="0" applyNumberFormat="1" applyFont="1" applyBorder="1" applyAlignment="1">
      <alignment horizontal="center" vertical="center"/>
    </xf>
    <xf numFmtId="0" fontId="1" fillId="0" borderId="26" xfId="0" applyFont="1" applyBorder="1" applyAlignment="1">
      <alignment horizontal="center" vertical="center"/>
    </xf>
    <xf numFmtId="0" fontId="1" fillId="0" borderId="22" xfId="0" applyFont="1" applyBorder="1" applyAlignment="1">
      <alignment horizontal="center" vertical="center"/>
    </xf>
    <xf numFmtId="0" fontId="1" fillId="0" borderId="29" xfId="0" applyFont="1" applyBorder="1" applyAlignment="1">
      <alignment horizontal="center" vertical="center"/>
    </xf>
    <xf numFmtId="0" fontId="1" fillId="0" borderId="34" xfId="0" applyFont="1" applyBorder="1" applyAlignment="1">
      <alignment horizontal="center" vertical="center"/>
    </xf>
    <xf numFmtId="176" fontId="1" fillId="0" borderId="30" xfId="0" applyNumberFormat="1" applyFont="1" applyBorder="1" applyAlignment="1">
      <alignment horizontal="center" vertical="center" wrapText="1"/>
    </xf>
    <xf numFmtId="176" fontId="1" fillId="0" borderId="31" xfId="0" applyNumberFormat="1" applyFont="1" applyBorder="1" applyAlignment="1">
      <alignment horizontal="center" vertical="center" wrapText="1"/>
    </xf>
    <xf numFmtId="176" fontId="1" fillId="0" borderId="35" xfId="0" applyNumberFormat="1" applyFont="1" applyBorder="1" applyAlignment="1">
      <alignment horizontal="center" vertical="center" wrapText="1"/>
    </xf>
    <xf numFmtId="176" fontId="1" fillId="0" borderId="36" xfId="0" applyNumberFormat="1" applyFont="1" applyBorder="1" applyAlignment="1">
      <alignment horizontal="center" vertical="center" wrapText="1"/>
    </xf>
    <xf numFmtId="176" fontId="1" fillId="0" borderId="9" xfId="0" applyNumberFormat="1" applyFont="1" applyBorder="1" applyAlignment="1">
      <alignment horizontal="center" vertical="center" wrapText="1"/>
    </xf>
    <xf numFmtId="0" fontId="1" fillId="0" borderId="9" xfId="0" applyFont="1" applyBorder="1" applyAlignment="1">
      <alignment horizontal="center" vertical="center"/>
    </xf>
    <xf numFmtId="176" fontId="1" fillId="0" borderId="6" xfId="0" applyNumberFormat="1" applyFont="1" applyBorder="1" applyAlignment="1">
      <alignment horizontal="center" vertical="center" wrapText="1"/>
    </xf>
    <xf numFmtId="0" fontId="1" fillId="0" borderId="6" xfId="0" applyFont="1" applyBorder="1" applyAlignment="1">
      <alignment horizontal="center" vertical="center"/>
    </xf>
    <xf numFmtId="176" fontId="1" fillId="0" borderId="6" xfId="0" applyNumberFormat="1" applyFont="1" applyBorder="1" applyAlignment="1">
      <alignment horizontal="center" vertical="center"/>
    </xf>
    <xf numFmtId="49" fontId="5" fillId="0" borderId="29" xfId="0" applyNumberFormat="1" applyFont="1" applyBorder="1" applyAlignment="1">
      <alignment horizontal="center" vertical="center"/>
    </xf>
    <xf numFmtId="49" fontId="5" fillId="0" borderId="34" xfId="0" applyNumberFormat="1" applyFont="1" applyBorder="1" applyAlignment="1">
      <alignment horizontal="center" vertical="center"/>
    </xf>
    <xf numFmtId="0" fontId="1" fillId="2" borderId="14" xfId="0" applyFont="1" applyFill="1" applyBorder="1" applyAlignment="1">
      <alignment horizontal="center" vertical="center"/>
    </xf>
    <xf numFmtId="0" fontId="1" fillId="2" borderId="16" xfId="0" applyFont="1" applyFill="1" applyBorder="1" applyAlignment="1">
      <alignment horizontal="center" vertical="center"/>
    </xf>
    <xf numFmtId="0" fontId="2" fillId="14" borderId="1" xfId="0" applyFont="1" applyFill="1" applyBorder="1" applyAlignment="1">
      <alignment horizontal="center" vertical="center"/>
    </xf>
    <xf numFmtId="0" fontId="2" fillId="14" borderId="4" xfId="0" applyFont="1" applyFill="1" applyBorder="1" applyAlignment="1">
      <alignment horizontal="center" vertical="center"/>
    </xf>
    <xf numFmtId="176" fontId="2" fillId="14" borderId="4" xfId="0" applyNumberFormat="1" applyFont="1" applyFill="1" applyBorder="1" applyAlignment="1">
      <alignment horizontal="center" vertical="center"/>
    </xf>
    <xf numFmtId="0" fontId="2" fillId="14" borderId="5" xfId="0" applyFont="1" applyFill="1" applyBorder="1" applyAlignment="1">
      <alignment horizontal="center" vertical="center"/>
    </xf>
    <xf numFmtId="0" fontId="17" fillId="13" borderId="1" xfId="0" applyFont="1" applyFill="1" applyBorder="1" applyAlignment="1">
      <alignment horizontal="center" vertical="center"/>
    </xf>
    <xf numFmtId="0" fontId="17" fillId="13" borderId="4" xfId="0" applyFont="1" applyFill="1" applyBorder="1" applyAlignment="1">
      <alignment horizontal="center" vertical="center"/>
    </xf>
    <xf numFmtId="0" fontId="17" fillId="13" borderId="5" xfId="0" applyFont="1" applyFill="1" applyBorder="1" applyAlignment="1">
      <alignment horizontal="center" vertical="center"/>
    </xf>
    <xf numFmtId="0" fontId="16" fillId="0" borderId="0" xfId="0" applyFont="1" applyAlignment="1">
      <alignment horizontal="right" vertical="top"/>
    </xf>
    <xf numFmtId="0" fontId="44" fillId="18" borderId="8" xfId="0" applyFont="1" applyFill="1" applyBorder="1" applyAlignment="1">
      <alignment horizontal="left" vertical="center" wrapText="1"/>
    </xf>
    <xf numFmtId="0" fontId="44" fillId="18" borderId="14" xfId="0" applyFont="1" applyFill="1" applyBorder="1" applyAlignment="1">
      <alignment horizontal="left" vertical="center" wrapText="1"/>
    </xf>
    <xf numFmtId="0" fontId="44" fillId="18" borderId="16" xfId="0" applyFont="1" applyFill="1" applyBorder="1" applyAlignment="1">
      <alignment horizontal="left" vertical="center" wrapText="1"/>
    </xf>
    <xf numFmtId="0" fontId="44" fillId="18" borderId="10" xfId="0" applyFont="1" applyFill="1" applyBorder="1" applyAlignment="1">
      <alignment horizontal="left" vertical="center" wrapText="1"/>
    </xf>
    <xf numFmtId="0" fontId="44" fillId="18" borderId="11" xfId="0" applyFont="1" applyFill="1" applyBorder="1" applyAlignment="1">
      <alignment horizontal="left" vertical="center" wrapText="1"/>
    </xf>
    <xf numFmtId="0" fontId="14" fillId="8" borderId="1" xfId="0" applyFont="1" applyFill="1" applyBorder="1" applyAlignment="1">
      <alignment horizontal="center" vertical="center"/>
    </xf>
    <xf numFmtId="0" fontId="14" fillId="8" borderId="4" xfId="0" applyFont="1" applyFill="1" applyBorder="1" applyAlignment="1">
      <alignment horizontal="center" vertical="center"/>
    </xf>
    <xf numFmtId="176" fontId="14" fillId="8" borderId="4" xfId="0" applyNumberFormat="1" applyFont="1" applyFill="1" applyBorder="1" applyAlignment="1">
      <alignment horizontal="center" vertical="center"/>
    </xf>
    <xf numFmtId="0" fontId="14" fillId="8" borderId="5" xfId="0" applyFont="1" applyFill="1" applyBorder="1" applyAlignment="1">
      <alignment horizontal="center" vertical="center"/>
    </xf>
    <xf numFmtId="56" fontId="3" fillId="3" borderId="6" xfId="0" applyNumberFormat="1" applyFont="1" applyFill="1" applyBorder="1" applyAlignment="1">
      <alignment horizontal="center" vertical="center" wrapText="1"/>
    </xf>
    <xf numFmtId="56" fontId="3" fillId="3" borderId="9" xfId="0" applyNumberFormat="1" applyFont="1" applyFill="1" applyBorder="1" applyAlignment="1">
      <alignment horizontal="center" vertical="center"/>
    </xf>
    <xf numFmtId="0" fontId="1" fillId="3" borderId="7" xfId="0" applyFont="1" applyFill="1" applyBorder="1" applyAlignment="1">
      <alignment horizontal="center" vertical="center"/>
    </xf>
    <xf numFmtId="0" fontId="1" fillId="3" borderId="8" xfId="0" applyFont="1" applyFill="1" applyBorder="1" applyAlignment="1">
      <alignment horizontal="center" vertical="center"/>
    </xf>
    <xf numFmtId="0" fontId="1" fillId="3" borderId="10" xfId="0" applyFont="1" applyFill="1" applyBorder="1" applyAlignment="1">
      <alignment horizontal="center" vertical="center"/>
    </xf>
    <xf numFmtId="0" fontId="1" fillId="3" borderId="11" xfId="0" applyFont="1" applyFill="1" applyBorder="1" applyAlignment="1">
      <alignment horizontal="center" vertical="center"/>
    </xf>
    <xf numFmtId="49" fontId="12" fillId="11" borderId="6" xfId="0" applyNumberFormat="1" applyFont="1" applyFill="1" applyBorder="1" applyAlignment="1">
      <alignment horizontal="center" vertical="center"/>
    </xf>
    <xf numFmtId="176" fontId="1" fillId="0" borderId="10" xfId="0" applyNumberFormat="1" applyFont="1" applyBorder="1" applyAlignment="1">
      <alignment horizontal="center" vertical="center" wrapText="1"/>
    </xf>
    <xf numFmtId="176" fontId="1" fillId="0" borderId="11" xfId="0" applyNumberFormat="1" applyFont="1" applyBorder="1" applyAlignment="1">
      <alignment horizontal="center" vertical="center" wrapText="1"/>
    </xf>
    <xf numFmtId="0" fontId="5" fillId="0" borderId="26" xfId="0" applyFont="1" applyBorder="1" applyAlignment="1">
      <alignment horizontal="center" vertical="center"/>
    </xf>
    <xf numFmtId="0" fontId="5" fillId="0" borderId="22" xfId="0" applyFont="1" applyBorder="1" applyAlignment="1">
      <alignment horizontal="center" vertical="center"/>
    </xf>
    <xf numFmtId="0" fontId="16" fillId="0" borderId="15" xfId="0" applyFont="1" applyBorder="1" applyAlignment="1">
      <alignment horizontal="right" vertical="center"/>
    </xf>
    <xf numFmtId="176" fontId="1" fillId="0" borderId="2" xfId="1" applyNumberFormat="1" applyBorder="1" applyAlignment="1">
      <alignment horizontal="center" vertical="center"/>
    </xf>
    <xf numFmtId="0" fontId="1" fillId="6" borderId="2" xfId="1" applyFill="1" applyBorder="1" applyAlignment="1">
      <alignment horizontal="center" vertical="center"/>
    </xf>
    <xf numFmtId="178" fontId="1" fillId="0" borderId="2" xfId="1" applyNumberFormat="1" applyBorder="1" applyAlignment="1">
      <alignment horizontal="center" vertical="center"/>
    </xf>
    <xf numFmtId="56" fontId="3" fillId="3" borderId="6" xfId="1" applyNumberFormat="1" applyFont="1" applyFill="1" applyBorder="1" applyAlignment="1">
      <alignment horizontal="center" vertical="center" wrapText="1"/>
    </xf>
    <xf numFmtId="56" fontId="3" fillId="3" borderId="9" xfId="1" applyNumberFormat="1" applyFont="1" applyFill="1" applyBorder="1" applyAlignment="1">
      <alignment horizontal="center" vertical="center"/>
    </xf>
    <xf numFmtId="176" fontId="1" fillId="3" borderId="7" xfId="1" applyNumberFormat="1" applyFill="1" applyBorder="1" applyAlignment="1">
      <alignment horizontal="center" vertical="center"/>
    </xf>
    <xf numFmtId="0" fontId="1" fillId="3" borderId="8" xfId="1" applyFill="1" applyBorder="1" applyAlignment="1">
      <alignment horizontal="center" vertical="center"/>
    </xf>
    <xf numFmtId="176" fontId="1" fillId="3" borderId="10" xfId="1" applyNumberFormat="1" applyFill="1" applyBorder="1" applyAlignment="1">
      <alignment horizontal="center" vertical="center"/>
    </xf>
    <xf numFmtId="0" fontId="1" fillId="3" borderId="11" xfId="1" applyFill="1" applyBorder="1" applyAlignment="1">
      <alignment horizontal="center" vertical="center"/>
    </xf>
    <xf numFmtId="176" fontId="1" fillId="3" borderId="14" xfId="1" applyNumberFormat="1" applyFill="1" applyBorder="1" applyAlignment="1">
      <alignment horizontal="center" vertical="center"/>
    </xf>
    <xf numFmtId="0" fontId="1" fillId="3" borderId="16" xfId="1" applyFill="1" applyBorder="1" applyAlignment="1">
      <alignment horizontal="center" vertical="center"/>
    </xf>
    <xf numFmtId="0" fontId="1" fillId="0" borderId="1" xfId="1" applyBorder="1" applyAlignment="1">
      <alignment horizontal="center" vertical="center"/>
    </xf>
    <xf numFmtId="0" fontId="1" fillId="0" borderId="4" xfId="1" applyBorder="1" applyAlignment="1">
      <alignment horizontal="center" vertical="center"/>
    </xf>
    <xf numFmtId="0" fontId="1" fillId="0" borderId="5" xfId="1" applyBorder="1" applyAlignment="1">
      <alignment horizontal="center" vertical="center"/>
    </xf>
    <xf numFmtId="56" fontId="3" fillId="3" borderId="2" xfId="0" applyNumberFormat="1" applyFont="1" applyFill="1" applyBorder="1" applyAlignment="1">
      <alignment horizontal="center" vertical="center" wrapText="1"/>
    </xf>
    <xf numFmtId="56" fontId="3" fillId="3" borderId="2" xfId="0" applyNumberFormat="1" applyFont="1" applyFill="1" applyBorder="1" applyAlignment="1">
      <alignment horizontal="center" vertical="center"/>
    </xf>
    <xf numFmtId="0" fontId="1" fillId="3" borderId="2" xfId="0" applyFont="1" applyFill="1" applyBorder="1" applyAlignment="1">
      <alignment horizontal="center" vertical="center"/>
    </xf>
    <xf numFmtId="0" fontId="14" fillId="7" borderId="1" xfId="0" applyFont="1" applyFill="1" applyBorder="1" applyAlignment="1">
      <alignment horizontal="center" vertical="center"/>
    </xf>
    <xf numFmtId="0" fontId="14" fillId="7" borderId="4" xfId="0" applyFont="1" applyFill="1" applyBorder="1" applyAlignment="1">
      <alignment horizontal="center" vertical="center"/>
    </xf>
    <xf numFmtId="176" fontId="14" fillId="7" borderId="4" xfId="0" applyNumberFormat="1" applyFont="1" applyFill="1" applyBorder="1" applyAlignment="1">
      <alignment horizontal="center" vertical="center"/>
    </xf>
    <xf numFmtId="0" fontId="14" fillId="7" borderId="5" xfId="0" applyFont="1" applyFill="1" applyBorder="1" applyAlignment="1">
      <alignment horizontal="center" vertical="center"/>
    </xf>
    <xf numFmtId="0" fontId="3" fillId="17" borderId="3" xfId="0" applyFont="1" applyFill="1" applyBorder="1" applyAlignment="1">
      <alignment horizontal="center" vertical="center"/>
    </xf>
    <xf numFmtId="0" fontId="3" fillId="17" borderId="12" xfId="0" applyFont="1" applyFill="1" applyBorder="1" applyAlignment="1">
      <alignment horizontal="center" vertical="center"/>
    </xf>
    <xf numFmtId="0" fontId="3" fillId="17" borderId="13" xfId="0" applyFont="1" applyFill="1" applyBorder="1" applyAlignment="1">
      <alignment horizontal="center" vertical="center"/>
    </xf>
    <xf numFmtId="0" fontId="3" fillId="15" borderId="10" xfId="0" applyFont="1" applyFill="1" applyBorder="1">
      <alignment vertical="center"/>
    </xf>
    <xf numFmtId="0" fontId="3" fillId="15" borderId="37" xfId="0" applyFont="1" applyFill="1" applyBorder="1">
      <alignment vertical="center"/>
    </xf>
    <xf numFmtId="0" fontId="3" fillId="15" borderId="11" xfId="0" applyFont="1" applyFill="1" applyBorder="1">
      <alignment vertical="center"/>
    </xf>
    <xf numFmtId="176" fontId="3" fillId="3" borderId="7" xfId="1" applyNumberFormat="1" applyFont="1" applyFill="1" applyBorder="1" applyAlignment="1">
      <alignment horizontal="center" vertical="center"/>
    </xf>
    <xf numFmtId="176" fontId="3" fillId="3" borderId="8" xfId="1" applyNumberFormat="1" applyFont="1" applyFill="1" applyBorder="1" applyAlignment="1">
      <alignment horizontal="center" vertical="center"/>
    </xf>
    <xf numFmtId="176" fontId="0" fillId="0" borderId="2" xfId="0" applyNumberFormat="1" applyBorder="1" applyAlignment="1">
      <alignment horizontal="center" vertical="center"/>
    </xf>
    <xf numFmtId="0" fontId="4" fillId="0" borderId="26" xfId="0" applyFont="1" applyBorder="1" applyAlignment="1">
      <alignment horizontal="center" vertical="center"/>
    </xf>
    <xf numFmtId="0" fontId="4" fillId="0" borderId="22" xfId="0" applyFont="1" applyBorder="1" applyAlignment="1">
      <alignment horizontal="center" vertical="center"/>
    </xf>
    <xf numFmtId="177" fontId="0" fillId="0" borderId="29" xfId="0" applyNumberFormat="1" applyBorder="1" applyAlignment="1">
      <alignment horizontal="center" vertical="center"/>
    </xf>
    <xf numFmtId="177" fontId="0" fillId="0" borderId="34" xfId="0" applyNumberFormat="1" applyBorder="1" applyAlignment="1">
      <alignment horizontal="center" vertical="center"/>
    </xf>
    <xf numFmtId="176" fontId="0" fillId="0" borderId="30" xfId="0" applyNumberFormat="1" applyBorder="1" applyAlignment="1">
      <alignment horizontal="center" vertical="center"/>
    </xf>
    <xf numFmtId="176" fontId="0" fillId="0" borderId="31" xfId="0" applyNumberFormat="1" applyBorder="1" applyAlignment="1">
      <alignment horizontal="center" vertical="center"/>
    </xf>
    <xf numFmtId="176" fontId="0" fillId="0" borderId="35" xfId="0" applyNumberFormat="1" applyBorder="1" applyAlignment="1">
      <alignment horizontal="center" vertical="center"/>
    </xf>
    <xf numFmtId="176" fontId="0" fillId="0" borderId="36" xfId="0" applyNumberFormat="1" applyBorder="1" applyAlignment="1">
      <alignment horizontal="center" vertical="center"/>
    </xf>
    <xf numFmtId="0" fontId="0" fillId="0" borderId="1" xfId="0" applyBorder="1" applyAlignment="1">
      <alignment horizontal="center" vertical="center"/>
    </xf>
    <xf numFmtId="0" fontId="0" fillId="0" borderId="4" xfId="0" applyBorder="1" applyAlignment="1">
      <alignment horizontal="center" vertical="center"/>
    </xf>
    <xf numFmtId="176" fontId="0" fillId="0" borderId="4" xfId="0" applyNumberFormat="1" applyBorder="1" applyAlignment="1">
      <alignment horizontal="center" vertical="center"/>
    </xf>
    <xf numFmtId="0" fontId="0" fillId="0" borderId="5" xfId="0" applyBorder="1" applyAlignment="1">
      <alignment horizontal="center" vertical="center"/>
    </xf>
    <xf numFmtId="56" fontId="11" fillId="3" borderId="6" xfId="1" applyNumberFormat="1" applyFont="1" applyFill="1" applyBorder="1" applyAlignment="1">
      <alignment horizontal="center" vertical="center" wrapText="1"/>
    </xf>
    <xf numFmtId="56" fontId="11" fillId="3" borderId="9" xfId="1" applyNumberFormat="1" applyFont="1" applyFill="1" applyBorder="1" applyAlignment="1">
      <alignment horizontal="center" vertical="center"/>
    </xf>
    <xf numFmtId="176" fontId="1" fillId="0" borderId="27" xfId="0" applyNumberFormat="1" applyFont="1" applyBorder="1" applyAlignment="1">
      <alignment horizontal="center" vertical="center" wrapText="1"/>
    </xf>
    <xf numFmtId="176" fontId="1" fillId="0" borderId="19" xfId="0" applyNumberFormat="1" applyFont="1" applyBorder="1" applyAlignment="1">
      <alignment horizontal="center" vertical="center" wrapText="1"/>
    </xf>
    <xf numFmtId="176" fontId="1" fillId="0" borderId="32" xfId="0" applyNumberFormat="1" applyFont="1" applyBorder="1" applyAlignment="1">
      <alignment horizontal="center" vertical="center" wrapText="1"/>
    </xf>
    <xf numFmtId="176" fontId="1" fillId="0" borderId="24" xfId="0" applyNumberFormat="1" applyFont="1" applyBorder="1" applyAlignment="1">
      <alignment horizontal="center" vertical="center" wrapText="1"/>
    </xf>
    <xf numFmtId="56" fontId="3" fillId="2" borderId="9" xfId="0" applyNumberFormat="1" applyFont="1" applyFill="1" applyBorder="1" applyAlignment="1">
      <alignment horizontal="center" vertical="center" wrapText="1"/>
    </xf>
    <xf numFmtId="56" fontId="3" fillId="2" borderId="2" xfId="0" applyNumberFormat="1" applyFont="1" applyFill="1" applyBorder="1" applyAlignment="1">
      <alignment horizontal="center" vertical="center"/>
    </xf>
    <xf numFmtId="0" fontId="1" fillId="2" borderId="9" xfId="0" applyFont="1" applyFill="1" applyBorder="1" applyAlignment="1">
      <alignment horizontal="center" vertical="center"/>
    </xf>
    <xf numFmtId="0" fontId="1" fillId="2" borderId="2" xfId="0" applyFont="1" applyFill="1" applyBorder="1" applyAlignment="1">
      <alignment horizontal="center" vertical="center"/>
    </xf>
    <xf numFmtId="0" fontId="22" fillId="5" borderId="38" xfId="0" applyFont="1" applyFill="1" applyBorder="1" applyAlignment="1">
      <alignment horizontal="center" vertical="center"/>
    </xf>
    <xf numFmtId="0" fontId="22" fillId="5" borderId="39" xfId="0" applyFont="1" applyFill="1" applyBorder="1" applyAlignment="1">
      <alignment horizontal="center" vertical="center"/>
    </xf>
    <xf numFmtId="176" fontId="22" fillId="5" borderId="39" xfId="0" applyNumberFormat="1" applyFont="1" applyFill="1" applyBorder="1" applyAlignment="1">
      <alignment horizontal="center" vertical="center"/>
    </xf>
    <xf numFmtId="0" fontId="22" fillId="5" borderId="40" xfId="0" applyFont="1" applyFill="1" applyBorder="1" applyAlignment="1">
      <alignment horizontal="center" vertical="center"/>
    </xf>
    <xf numFmtId="56" fontId="3" fillId="2" borderId="2" xfId="0" applyNumberFormat="1" applyFont="1" applyFill="1" applyBorder="1" applyAlignment="1">
      <alignment horizontal="center" vertical="center" wrapText="1"/>
    </xf>
    <xf numFmtId="0" fontId="5" fillId="0" borderId="18" xfId="0" applyFont="1" applyBorder="1" applyAlignment="1">
      <alignment horizontal="center" vertical="center"/>
    </xf>
    <xf numFmtId="0" fontId="5" fillId="0" borderId="23" xfId="0" applyFont="1" applyBorder="1" applyAlignment="1">
      <alignment horizontal="center" vertical="center"/>
    </xf>
    <xf numFmtId="0" fontId="28" fillId="18" borderId="7" xfId="0" applyFont="1" applyFill="1" applyBorder="1" applyAlignment="1">
      <alignment horizontal="left" vertical="center" wrapText="1"/>
    </xf>
    <xf numFmtId="0" fontId="28" fillId="18" borderId="8" xfId="0" applyFont="1" applyFill="1" applyBorder="1" applyAlignment="1">
      <alignment horizontal="left" vertical="center"/>
    </xf>
    <xf numFmtId="0" fontId="28" fillId="18" borderId="16" xfId="0" applyFont="1" applyFill="1" applyBorder="1" applyAlignment="1">
      <alignment horizontal="left" vertical="center"/>
    </xf>
    <xf numFmtId="0" fontId="28" fillId="18" borderId="10" xfId="0" applyFont="1" applyFill="1" applyBorder="1" applyAlignment="1">
      <alignment horizontal="left" vertical="center"/>
    </xf>
    <xf numFmtId="0" fontId="28" fillId="18" borderId="11" xfId="0" applyFont="1" applyFill="1" applyBorder="1" applyAlignment="1">
      <alignment horizontal="left" vertical="center"/>
    </xf>
    <xf numFmtId="0" fontId="2" fillId="10" borderId="1" xfId="0" applyFont="1" applyFill="1" applyBorder="1" applyAlignment="1">
      <alignment horizontal="center" vertical="center"/>
    </xf>
    <xf numFmtId="0" fontId="2" fillId="10" borderId="4" xfId="0" applyFont="1" applyFill="1" applyBorder="1" applyAlignment="1">
      <alignment horizontal="center" vertical="center"/>
    </xf>
    <xf numFmtId="176" fontId="2" fillId="10" borderId="4" xfId="0" applyNumberFormat="1" applyFont="1" applyFill="1" applyBorder="1" applyAlignment="1">
      <alignment horizontal="center" vertical="center"/>
    </xf>
    <xf numFmtId="0" fontId="2" fillId="10" borderId="5" xfId="0" applyFont="1" applyFill="1" applyBorder="1" applyAlignment="1">
      <alignment horizontal="center" vertical="center"/>
    </xf>
  </cellXfs>
  <cellStyles count="3">
    <cellStyle name="標準" xfId="0" builtinId="0"/>
    <cellStyle name="標準 2 2" xfId="2" xr:uid="{A2695277-DCCB-4A04-8816-8EB0658C0C60}"/>
    <cellStyle name="標準 3" xfId="1" xr:uid="{20B583B1-9A16-43C7-B631-D15A3BCF4EC2}"/>
  </cellStyles>
  <dxfs count="0"/>
  <tableStyles count="0" defaultTableStyle="TableStyleMedium2" defaultPivotStyle="PivotStyleLight16"/>
  <colors>
    <mruColors>
      <color rgb="FFBAF8F8"/>
      <color rgb="FFFAFC69"/>
      <color rgb="FF3669AB"/>
      <color rgb="FFFFCCFF"/>
      <color rgb="FFFFCCCC"/>
      <color rgb="FF68C7EE"/>
      <color rgb="FFF58383"/>
      <color rgb="FF87D8C9"/>
      <color rgb="FF9966FF"/>
      <color rgb="FF9933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F:\Users\clmiwa-three\Downloads\&#12298;&#20013;&#26449;&#12299;&#26032;&#30000;&#12539;&#33609;&#21152;%20&#12456;&#12522;&#12450;%20&#20206;&#12471;&#12501;&#12488;&#12304;12&#26376;16&#26085;&#65374;1&#26376;15&#26085;&#1230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参照データベース"/>
    </sheetNames>
    <sheetDataSet>
      <sheetData sheetId="0" refreshError="1"/>
    </sheetDataSet>
  </externalBook>
</externalLink>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EEB91-8865-4481-80CB-25A725656DEB}">
  <sheetPr>
    <tabColor theme="7" tint="0.59999389629810485"/>
    <pageSetUpPr fitToPage="1"/>
  </sheetPr>
  <dimension ref="A1:X53"/>
  <sheetViews>
    <sheetView zoomScale="90" zoomScaleNormal="90" workbookViewId="0">
      <selection activeCell="O16" sqref="O16"/>
    </sheetView>
  </sheetViews>
  <sheetFormatPr defaultColWidth="9" defaultRowHeight="18" customHeight="1" x14ac:dyDescent="0.2"/>
  <cols>
    <col min="1" max="1" width="11.88671875" style="1" customWidth="1"/>
    <col min="2" max="8" width="10.21875" style="13" customWidth="1"/>
    <col min="9" max="9" width="7.6640625" style="1" customWidth="1"/>
    <col min="10" max="10" width="9" style="1"/>
    <col min="11" max="11" width="3.109375" style="1" customWidth="1"/>
    <col min="12" max="16384" width="9" style="1"/>
  </cols>
  <sheetData>
    <row r="1" spans="1:24" ht="18" customHeight="1" thickBot="1" x14ac:dyDescent="0.25">
      <c r="A1" s="53" t="s">
        <v>56</v>
      </c>
      <c r="B1" s="251" t="s">
        <v>167</v>
      </c>
      <c r="C1" s="251"/>
      <c r="D1" s="251"/>
      <c r="E1" s="251"/>
      <c r="F1" s="251"/>
      <c r="H1" s="252" t="s">
        <v>41</v>
      </c>
      <c r="I1" s="253"/>
      <c r="J1" s="254"/>
      <c r="K1" s="255"/>
    </row>
    <row r="2" spans="1:24" ht="9.75" customHeight="1" x14ac:dyDescent="0.2">
      <c r="A2" s="44"/>
      <c r="B2" s="218"/>
      <c r="C2" s="218"/>
      <c r="D2" s="218"/>
      <c r="E2" s="218"/>
      <c r="F2" s="218"/>
      <c r="H2" s="227"/>
      <c r="I2" s="227"/>
      <c r="J2" s="228"/>
      <c r="K2" s="227"/>
    </row>
    <row r="3" spans="1:24" ht="18" customHeight="1" x14ac:dyDescent="0.2">
      <c r="A3" s="21" t="s">
        <v>0</v>
      </c>
      <c r="B3" s="22">
        <v>46174</v>
      </c>
      <c r="C3" s="22">
        <v>46175</v>
      </c>
      <c r="D3" s="22">
        <v>46176</v>
      </c>
      <c r="E3" s="22">
        <v>46177</v>
      </c>
      <c r="F3" s="22">
        <v>46178</v>
      </c>
      <c r="G3" s="22">
        <v>46179</v>
      </c>
      <c r="H3" s="22">
        <v>46180</v>
      </c>
      <c r="I3" s="256" t="s">
        <v>1</v>
      </c>
      <c r="J3" s="258" t="s">
        <v>2</v>
      </c>
      <c r="K3" s="259"/>
    </row>
    <row r="4" spans="1:24" ht="18" customHeight="1" x14ac:dyDescent="0.2">
      <c r="A4" s="21" t="s">
        <v>3</v>
      </c>
      <c r="B4" s="2" t="s">
        <v>4</v>
      </c>
      <c r="C4" s="20" t="s">
        <v>5</v>
      </c>
      <c r="D4" s="20" t="s">
        <v>6</v>
      </c>
      <c r="E4" s="2" t="s">
        <v>7</v>
      </c>
      <c r="F4" s="2" t="s">
        <v>8</v>
      </c>
      <c r="G4" s="2" t="s">
        <v>9</v>
      </c>
      <c r="H4" s="23" t="s">
        <v>10</v>
      </c>
      <c r="I4" s="257"/>
      <c r="J4" s="260"/>
      <c r="K4" s="261"/>
    </row>
    <row r="5" spans="1:24" ht="18" customHeight="1" x14ac:dyDescent="0.2">
      <c r="A5" s="16" t="s">
        <v>11</v>
      </c>
      <c r="B5" s="11"/>
      <c r="C5" s="24"/>
      <c r="D5" s="31"/>
      <c r="E5" s="11"/>
      <c r="F5" s="11"/>
      <c r="G5" s="11"/>
      <c r="H5" s="11"/>
      <c r="I5" s="5"/>
      <c r="J5" s="249"/>
      <c r="K5" s="250"/>
    </row>
    <row r="6" spans="1:24" ht="18" customHeight="1" x14ac:dyDescent="0.2">
      <c r="A6" s="5" t="s">
        <v>59</v>
      </c>
      <c r="B6" s="47" t="s">
        <v>19</v>
      </c>
      <c r="C6" s="87"/>
      <c r="D6" s="28"/>
      <c r="E6" s="47"/>
      <c r="F6" s="11" t="s">
        <v>19</v>
      </c>
      <c r="G6" s="11" t="s">
        <v>18</v>
      </c>
      <c r="H6" s="26" t="s">
        <v>19</v>
      </c>
      <c r="I6" s="5">
        <f>COUNTIFS(B6:H6,"&lt;&gt;空",B6:H6,"&lt;&gt;休",B6:H6,"&lt;&gt;調",B6:H6,"&lt;&gt;",B6:H6,"&lt;&gt;調整休")</f>
        <v>4</v>
      </c>
      <c r="J6" s="249">
        <f>SUM(COUNTIF(B6:H6,"9-14:30"))*(5)+(COUNTIF(B6:H6,"9-20"))*(10)+(COUNTIF(B6:H6,"9-19"))*(9)+(COUNTIF(B6:H6,"9-18"))*(8)+(COUNTIF(B6:H6,"9-17"))*(7.25)+(COUNTIF(B6:H6,"9-16"))*(6.25)+(COUNTIF(B6:H6,"9-15"))*(5.5)+(COUNTIF(B6:H6,"9-14"))*(4.5)+(COUNTIF(B6:H6,"9-13,17-20"))*(7)+(COUNTIF(B6:H6,"9-13"))*(4)+(COUNTIF(B6:H6,"9-12,18-20"))*(5)+(COUNTIF(B6:H6,"9-12,16-20"))*(7)+(COUNTIF(B6:H6,"9-12,16-19"))*(6)+(COUNTIF(B6:H6,"9-13,16-20"))*(6)+(COUNTIF(B6:H6,"9-12"))*(3)+(COUNTIF(B6:H6,"9-11:30"))*(2.5)+(COUNTIF(B6:H6,"9-11,16-19"))*(5)+(COUNTIF(B6:H6,"9-11"))*(2)+(COUNTIF(B6:H6,"9:30-11:30,16-19"))*(5)+(COUNTIF(B6:H6,"19-20"))*(1)+(COUNTIF(B6:H6,"17-20"))*(3)+(COUNTIF(B6:H6,"16-20"))*(4)+(COUNTIF(B6:H6,"15-20"))*(4.5)+(COUNTIF(B6:H6,"15-19"))*(4)+(COUNTIF(B6:H6,"14-20"))*(5.5)+(COUNTIF(B6:H6,"14-19"))*(4.5)+(COUNTIF(B6:H6,"14:30-20"))*(5)+(COUNTIF(B6:H6,"13-20"))*(6.25)+(COUNTIF(B6:H6,"13-19"))*(5.5)+(COUNTIF(B6:H6,"13-18"))*(4.5)+(COUNTIF(B6:H6,"13-17"))*(4)+(COUNTIF(B6:H6,"12-20"))*(7.25)+(COUNTIF(B6:H6,"10-20"))*(9)+(COUNTIF(B6:H6,"10-15"))*(4.5)+(COUNTIF(B6:H6,"12-18"))*(5.5)+(COUNTIF(B6:H6,"10-12,14-19"))*(6.5)+(COUNTIF(B6:H6,"10-14"))*(4)+(COUNTIF(B6:H6,"16-19"))*(3)</f>
        <v>18</v>
      </c>
      <c r="K6" s="250"/>
      <c r="N6" s="6"/>
      <c r="O6" s="6"/>
      <c r="P6" s="6"/>
      <c r="Q6" s="6"/>
      <c r="R6" s="6"/>
      <c r="S6" s="6"/>
      <c r="T6" s="6"/>
      <c r="U6" s="6"/>
      <c r="V6" s="6"/>
      <c r="W6" s="6"/>
      <c r="X6" s="6"/>
    </row>
    <row r="7" spans="1:24" ht="18" customHeight="1" x14ac:dyDescent="0.2">
      <c r="A7" s="5" t="s">
        <v>38</v>
      </c>
      <c r="B7" s="11"/>
      <c r="C7" s="20"/>
      <c r="D7" s="28"/>
      <c r="E7" s="47" t="s">
        <v>19</v>
      </c>
      <c r="F7" s="17"/>
      <c r="G7" s="11" t="s">
        <v>19</v>
      </c>
      <c r="H7" s="11"/>
      <c r="I7" s="5">
        <f>COUNTIFS(B7:H7,"&lt;&gt;空",B7:H7,"&lt;&gt;休",B7:H7,"&lt;&gt;調",B7:H7,"&lt;&gt;",B7:H7,"&lt;&gt;調整休")</f>
        <v>2</v>
      </c>
      <c r="J7" s="249">
        <f>SUM(COUNTIF(B7:H7,"9-14:30"))*(5)+(COUNTIF(B7:H7,"9-20"))*(10)+(COUNTIF(B7:H7,"9-19"))*(9)+(COUNTIF(B7:H7,"9-18"))*(8)+(COUNTIF(B7:H7,"9-17"))*(7.25)+(COUNTIF(B7:H7,"9-16"))*(6.25)+(COUNTIF(B7:H7,"9-15"))*(5.5)+(COUNTIF(B7:H7,"9-14"))*(4.5)+(COUNTIF(B7:H7,"9-13,17-20"))*(7)+(COUNTIF(B7:H7,"9-13"))*(4)+(COUNTIF(B7:H7,"9-12,18-20"))*(5)+(COUNTIF(B7:H7,"9-12,16-20"))*(7)+(COUNTIF(B7:H7,"9-12,16-19"))*(6)+(COUNTIF(B7:H7,"9-13,16-20"))*(6)+(COUNTIF(B7:H7,"9-12"))*(3)+(COUNTIF(B7:H7,"9-11:30"))*(2.5)+(COUNTIF(B7:H7,"9-11,16-19"))*(5)+(COUNTIF(B7:H7,"9-11"))*(2)+(COUNTIF(B7:H7,"9:30-11:30,16-19"))*(5)+(COUNTIF(B7:H7,"19-20"))*(1)+(COUNTIF(B7:H7,"17-20"))*(3)+(COUNTIF(B7:H7,"16-20"))*(4)+(COUNTIF(B7:H7,"15-20"))*(4.5)+(COUNTIF(B7:H7,"15-19"))*(4)+(COUNTIF(B7:H7,"14-20"))*(5.5)+(COUNTIF(B7:H7,"14-19"))*(4.5)+(COUNTIF(B7:H7,"14:30-20"))*(5)+(COUNTIF(B7:H7,"13-20"))*(6.25)+(COUNTIF(B7:H7,"13-19"))*(5.5)+(COUNTIF(B7:H7,"13-18"))*(4.5)+(COUNTIF(B7:H7,"13-17"))*(4)+(COUNTIF(B7:H7,"12-20"))*(7.25)+(COUNTIF(B7:H7,"10-20"))*(9)+(COUNTIF(B7:H7,"10-15"))*(4.5)+(COUNTIF(B7:H7,"12-18"))*(5.5)+(COUNTIF(B7:H7,"10-12,14-19"))*(6.5)+(COUNTIF(B7:H7,"10-14"))*(4)+(COUNTIF(B7:H7,"16-19"))*(3)</f>
        <v>9</v>
      </c>
      <c r="K7" s="250"/>
      <c r="N7" s="6"/>
      <c r="O7" s="6"/>
      <c r="P7" s="6"/>
      <c r="Q7" s="6"/>
      <c r="R7" s="6"/>
      <c r="S7" s="6"/>
      <c r="T7" s="6"/>
      <c r="U7" s="6"/>
      <c r="V7" s="6"/>
      <c r="W7" s="6"/>
      <c r="X7" s="6"/>
    </row>
    <row r="8" spans="1:24" ht="18" customHeight="1" x14ac:dyDescent="0.2">
      <c r="A8" s="5" t="s">
        <v>39</v>
      </c>
      <c r="B8" s="47" t="s">
        <v>18</v>
      </c>
      <c r="C8" s="20"/>
      <c r="D8" s="28"/>
      <c r="E8" s="47" t="s">
        <v>18</v>
      </c>
      <c r="F8" s="11" t="s">
        <v>18</v>
      </c>
      <c r="G8" s="11"/>
      <c r="H8" s="11" t="s">
        <v>18</v>
      </c>
      <c r="I8" s="5">
        <f>COUNTIFS(B8:H8,"&lt;&gt;空",B8:H8,"&lt;&gt;休",B8:H8,"&lt;&gt;調",B8:H8,"&lt;&gt;",B8:H8,"&lt;&gt;調整休")</f>
        <v>4</v>
      </c>
      <c r="J8" s="249">
        <f>SUM(COUNTIF(B8:H8,"9-14:30"))*(5)+(COUNTIF(B8:H8,"9-20"))*(10)+(COUNTIF(B8:H8,"9-19"))*(9)+(COUNTIF(B8:H8,"9-18"))*(8)+(COUNTIF(B8:H8,"9-17"))*(7.25)+(COUNTIF(B8:H8,"9-16"))*(6.25)+(COUNTIF(B8:H8,"9-15"))*(5.5)+(COUNTIF(B8:H8,"9-14"))*(4.5)+(COUNTIF(B8:H8,"9-13,17-20"))*(7)+(COUNTIF(B8:H8,"9-13"))*(4)+(COUNTIF(B8:H8,"9-12,18-20"))*(5)+(COUNTIF(B8:H8,"9-12,16-20"))*(7)+(COUNTIF(B8:H8,"9-12,16-19"))*(6)+(COUNTIF(B8:H8,"9-13,16-20"))*(6)+(COUNTIF(B8:H8,"9-12"))*(3)+(COUNTIF(B8:H8,"9-11:30"))*(2.5)+(COUNTIF(B8:H8,"9-11,16-19"))*(5)+(COUNTIF(B8:H8,"9-11"))*(2)+(COUNTIF(B8:H8,"9:30-11:30,16-19"))*(5)+(COUNTIF(B8:H8,"19-20"))*(1)+(COUNTIF(B8:H8,"17-20"))*(3)+(COUNTIF(B8:H8,"16-20"))*(4)+(COUNTIF(B8:H8,"15-20"))*(4.5)+(COUNTIF(B8:H8,"15-19"))*(4)+(COUNTIF(B8:H8,"14-20"))*(5.5)+(COUNTIF(B8:H8,"14-19"))*(4.5)+(COUNTIF(B8:H8,"14:30-20"))*(5)+(COUNTIF(B8:H8,"13-20"))*(6.25)+(COUNTIF(B8:H8,"13-19"))*(5.5)+(COUNTIF(B8:H8,"13-18"))*(4.5)+(COUNTIF(B8:H8,"13-17"))*(4)+(COUNTIF(B8:H8,"12-20"))*(7.25)+(COUNTIF(B8:H8,"10-20"))*(9)+(COUNTIF(B8:H8,"10-15"))*(4.5)+(COUNTIF(B8:H8,"12-18"))*(5.5)+(COUNTIF(B8:H8,"10-12,14-19"))*(6.5)+(COUNTIF(B8:H8,"10-14"))*(4)+(COUNTIF(B8:H8,"16-19"))*(3)</f>
        <v>18</v>
      </c>
      <c r="K8" s="250"/>
    </row>
    <row r="9" spans="1:24" ht="18" customHeight="1" x14ac:dyDescent="0.2">
      <c r="A9" s="5" t="s">
        <v>40</v>
      </c>
      <c r="B9" s="11"/>
      <c r="C9" s="74"/>
      <c r="D9" s="74"/>
      <c r="E9" s="48"/>
      <c r="F9" s="34"/>
      <c r="G9" s="11" t="s">
        <v>33</v>
      </c>
      <c r="H9" s="11" t="s">
        <v>33</v>
      </c>
      <c r="I9" s="5">
        <f>COUNTIFS(B9:H9,"&lt;&gt;空",B9:H9,"&lt;&gt;休",B9:H9,"&lt;&gt;調",B9:H9,"&lt;&gt;",B9:H9,"&lt;&gt;調整休")</f>
        <v>2</v>
      </c>
      <c r="J9" s="249">
        <f>SUM(COUNTIF(B9:H9,"9-14:30"))*(5)+(COUNTIF(B9:H9,"9-20"))*(10)+(COUNTIF(B9:H9,"9-19"))*(9)+(COUNTIF(B9:H9,"9-18"))*(8)+(COUNTIF(B9:H9,"9-17"))*(7.25)+(COUNTIF(B9:H9,"9-16"))*(6.25)+(COUNTIF(B9:H9,"9-15"))*(5.5)+(COUNTIF(B9:H9,"9-14"))*(4.5)+(COUNTIF(B9:H9,"9-13,17-20"))*(7)+(COUNTIF(B9:H9,"9-13"))*(4)+(COUNTIF(B9:H9,"9-12,18-20"))*(5)+(COUNTIF(B9:H9,"9-12,16-20"))*(7)+(COUNTIF(B9:H9,"9-12,16-19"))*(6)+(COUNTIF(B9:H9,"9-13,16-20"))*(6)+(COUNTIF(B9:H9,"9-12"))*(3)+(COUNTIF(B9:H9,"9-11:30"))*(2.5)+(COUNTIF(B9:H9,"9-11,16-19"))*(5)+(COUNTIF(B9:H9,"9-11"))*(2)+(COUNTIF(B9:H9,"9:30-11:30,16-19"))*(5)+(COUNTIF(B9:H9,"19-20"))*(1)+(COUNTIF(B9:H9,"17-20"))*(3)+(COUNTIF(B9:H9,"16-20"))*(4)+(COUNTIF(B9:H9,"15-20"))*(4.5)+(COUNTIF(B9:H9,"15-19"))*(4)+(COUNTIF(B9:H9,"14-20"))*(5.5)+(COUNTIF(B9:H9,"14-19"))*(4.5)+(COUNTIF(B9:H9,"14:30-20"))*(5)+(COUNTIF(B9:H9,"13-20"))*(6.25)+(COUNTIF(B9:H9,"13-19"))*(5.5)+(COUNTIF(B9:H9,"13-18"))*(4.5)+(COUNTIF(B9:H9,"13-17"))*(4)+(COUNTIF(B9:H9,"12-20"))*(7.25)+(COUNTIF(B9:H9,"10-20"))*(9)+(COUNTIF(B9:H9,"10-15"))*(4.5)+(COUNTIF(B9:H9,"12-18"))*(5.5)+(COUNTIF(B9:H9,"10-12,14-19"))*(6.5)+(COUNTIF(B9:H9,"10-14"))*(4)+(COUNTIF(B9:H9,"16-19"))*(3)</f>
        <v>12</v>
      </c>
      <c r="K9" s="250"/>
    </row>
    <row r="10" spans="1:24" ht="18" customHeight="1" x14ac:dyDescent="0.2">
      <c r="A10" s="175"/>
      <c r="B10" s="219"/>
      <c r="C10" s="32"/>
      <c r="D10" s="33"/>
      <c r="E10" s="11"/>
      <c r="F10" s="34"/>
      <c r="G10" s="26"/>
      <c r="H10" s="11"/>
      <c r="I10" s="5">
        <f>COUNTIFS(B10:H10,"&lt;&gt;空",B10:H10,"&lt;&gt;休",B10:H10,"&lt;&gt;調",B10:H10,"&lt;&gt;",B10:H10,"&lt;&gt;調整休")</f>
        <v>0</v>
      </c>
      <c r="J10" s="249">
        <f>SUM(COUNTIF(B10:H10,"9-14:30"))*(5)+(COUNTIF(B10:H10,"9-20"))*(10)+(COUNTIF(B10:H10,"9-19"))*(9)+(COUNTIF(B10:H10,"9-18"))*(8)+(COUNTIF(B10:H10,"9-17"))*(7.25)+(COUNTIF(B10:H10,"9-16"))*(6.25)+(COUNTIF(B10:H10,"9-15"))*(5.5)+(COUNTIF(B10:H10,"9-14"))*(4.5)+(COUNTIF(B10:H10,"9-13,17-20"))*(7)+(COUNTIF(B10:H10,"9-13"))*(4)+(COUNTIF(B10:H10,"9-12,18-20"))*(5)+(COUNTIF(B10:H10,"9-12,16-20"))*(7)+(COUNTIF(B10:H10,"9-12,16-19"))*(6)+(COUNTIF(B10:H10,"9-13,16-20"))*(6)+(COUNTIF(B10:H10,"9-12"))*(3)+(COUNTIF(B10:H10,"9-11:30"))*(2.5)+(COUNTIF(B10:H10,"9-11,16-19"))*(5)+(COUNTIF(B10:H10,"9-11"))*(2)+(COUNTIF(B10:H10,"9:30-11:30,16-19"))*(5)+(COUNTIF(B10:H10,"19-20"))*(1)+(COUNTIF(B10:H10,"17-20"))*(3)+(COUNTIF(B10:H10,"16-20"))*(4)+(COUNTIF(B10:H10,"15-20"))*(4.5)+(COUNTIF(B10:H10,"15-19"))*(4)+(COUNTIF(B10:H10,"14-20"))*(5.5)+(COUNTIF(B10:H10,"14-19"))*(4.5)+(COUNTIF(B10:H10,"14:30-20"))*(5)+(COUNTIF(B10:H10,"13-20"))*(6.25)+(COUNTIF(B10:H10,"13-19"))*(5.5)+(COUNTIF(B10:H10,"13-18"))*(4.5)+(COUNTIF(B10:H10,"13-17"))*(4)+(COUNTIF(B10:H10,"12-20"))*(7.25)+(COUNTIF(B10:H10,"10-20"))*(9)+(COUNTIF(B10:H10,"10-15"))*(4.5)+(COUNTIF(B10:H10,"12-18"))*(5.5)+(COUNTIF(B10:H10,"10-12,14-19"))*(6.5)+(COUNTIF(B10:H10,"10-14"))*(4)+(COUNTIF(B10:H10,"16-19"))*(3)</f>
        <v>0</v>
      </c>
      <c r="K10" s="250"/>
    </row>
    <row r="11" spans="1:24" ht="18" customHeight="1" x14ac:dyDescent="0.2">
      <c r="A11" s="29" t="s">
        <v>0</v>
      </c>
      <c r="B11" s="46">
        <v>46181</v>
      </c>
      <c r="C11" s="46">
        <v>46182</v>
      </c>
      <c r="D11" s="46">
        <v>46183</v>
      </c>
      <c r="E11" s="46">
        <v>46184</v>
      </c>
      <c r="F11" s="46">
        <v>46185</v>
      </c>
      <c r="G11" s="46">
        <v>46186</v>
      </c>
      <c r="H11" s="46">
        <v>46187</v>
      </c>
      <c r="I11" s="7"/>
      <c r="J11" s="258" t="s">
        <v>2</v>
      </c>
      <c r="K11" s="259"/>
    </row>
    <row r="12" spans="1:24" ht="18" customHeight="1" x14ac:dyDescent="0.2">
      <c r="A12" s="21" t="s">
        <v>3</v>
      </c>
      <c r="B12" s="2" t="s">
        <v>4</v>
      </c>
      <c r="C12" s="20" t="s">
        <v>5</v>
      </c>
      <c r="D12" s="20" t="s">
        <v>6</v>
      </c>
      <c r="E12" s="2" t="s">
        <v>7</v>
      </c>
      <c r="F12" s="2" t="s">
        <v>8</v>
      </c>
      <c r="G12" s="2" t="s">
        <v>9</v>
      </c>
      <c r="H12" s="23" t="s">
        <v>10</v>
      </c>
      <c r="I12" s="8"/>
      <c r="J12" s="260"/>
      <c r="K12" s="261"/>
    </row>
    <row r="13" spans="1:24" ht="18" customHeight="1" x14ac:dyDescent="0.2">
      <c r="A13" s="16" t="s">
        <v>12</v>
      </c>
      <c r="B13" s="11"/>
      <c r="C13" s="24"/>
      <c r="D13" s="31"/>
      <c r="E13" s="11"/>
      <c r="F13" s="11"/>
      <c r="G13" s="11"/>
      <c r="H13" s="11"/>
      <c r="I13" s="5"/>
      <c r="J13" s="249"/>
      <c r="K13" s="250"/>
    </row>
    <row r="14" spans="1:24" ht="18" customHeight="1" x14ac:dyDescent="0.2">
      <c r="A14" s="5" t="s">
        <v>59</v>
      </c>
      <c r="B14" s="47" t="s">
        <v>19</v>
      </c>
      <c r="C14" s="87"/>
      <c r="D14" s="28"/>
      <c r="E14" s="11" t="s">
        <v>19</v>
      </c>
      <c r="F14" s="11" t="s">
        <v>19</v>
      </c>
      <c r="G14" s="11" t="s">
        <v>18</v>
      </c>
      <c r="H14" s="11" t="s">
        <v>18</v>
      </c>
      <c r="I14" s="5">
        <f t="shared" ref="I14:I16" si="0">COUNTIFS(B14:H14,"&lt;&gt;空",B14:H14,"&lt;&gt;休",B14:H14,"&lt;&gt;調",B14:H14,"&lt;&gt;",B14:H14,"&lt;&gt;調整休")</f>
        <v>5</v>
      </c>
      <c r="J14" s="249">
        <f>SUM(COUNTIF(B14:H14,"9-14:30"))*(5)+(COUNTIF(B14:H14,"9-20"))*(10)+(COUNTIF(B14:H14,"9-19"))*(9)+(COUNTIF(B14:H14,"9-18"))*(8)+(COUNTIF(B14:H14,"9-17"))*(7.25)+(COUNTIF(B14:H14,"9-16"))*(6.25)+(COUNTIF(B14:H14,"9-15"))*(5.5)+(COUNTIF(B14:H14,"9-14"))*(4.5)+(COUNTIF(B14:H14,"9-13,17-20"))*(7)+(COUNTIF(B14:H14,"9-13"))*(4)+(COUNTIF(B14:H14,"9-12,18-20"))*(5)+(COUNTIF(B14:H14,"9-12,16-20"))*(7)+(COUNTIF(B14:H14,"9-12,16-19"))*(6)+(COUNTIF(B14:H14,"9-13,16-20"))*(6)+(COUNTIF(B14:H14,"9-12"))*(3)+(COUNTIF(B14:H14,"9-11:30"))*(2.5)+(COUNTIF(B14:H14,"9-11,16-19"))*(5)+(COUNTIF(B14:H14,"9-11"))*(2)+(COUNTIF(B14:H14,"9:30-11:30,16-19"))*(5)+(COUNTIF(B14:H14,"19-20"))*(1)+(COUNTIF(B14:H14,"17-20"))*(3)+(COUNTIF(B14:H14,"16-20"))*(4)+(COUNTIF(B14:H14,"15-20"))*(4.5)+(COUNTIF(B14:H14,"15-19"))*(4)+(COUNTIF(B14:H14,"14-20"))*(5.5)+(COUNTIF(B14:H14,"14-19"))*(4.5)+(COUNTIF(B14:H14,"14:30-20"))*(5)+(COUNTIF(B14:H14,"13-20"))*(6.25)+(COUNTIF(B14:H14,"13-19"))*(5.5)+(COUNTIF(B14:H14,"13-18"))*(4.5)+(COUNTIF(B14:H14,"13-17"))*(4)+(COUNTIF(B14:H14,"12-20"))*(7.25)+(COUNTIF(B14:H14,"10-20"))*(9)+(COUNTIF(B14:H14,"10-15"))*(4.5)+(COUNTIF(B14:H14,"12-18"))*(5.5)+(COUNTIF(B14:H14,"10-12,14-19"))*(6.5)+(COUNTIF(B14:H14,"10-14"))*(4)+(COUNTIF(B14:H14,"16-19"))*(3)</f>
        <v>22.5</v>
      </c>
      <c r="K14" s="250"/>
    </row>
    <row r="15" spans="1:24" ht="18" customHeight="1" x14ac:dyDescent="0.2">
      <c r="A15" s="5" t="s">
        <v>38</v>
      </c>
      <c r="B15" s="11"/>
      <c r="C15" s="20"/>
      <c r="D15" s="28"/>
      <c r="E15" s="51"/>
      <c r="F15" s="17"/>
      <c r="G15" s="11" t="s">
        <v>19</v>
      </c>
      <c r="H15" s="11" t="s">
        <v>19</v>
      </c>
      <c r="I15" s="5">
        <f t="shared" si="0"/>
        <v>2</v>
      </c>
      <c r="J15" s="249">
        <f>SUM(COUNTIF(B15:H15,"9-14:30"))*(5)+(COUNTIF(B15:H15,"9-20"))*(10)+(COUNTIF(B15:H15,"9-19"))*(9)+(COUNTIF(B15:H15,"9-18"))*(8)+(COUNTIF(B15:H15,"9-17"))*(7.25)+(COUNTIF(B15:H15,"9-16"))*(6.25)+(COUNTIF(B15:H15,"9-15"))*(5.5)+(COUNTIF(B15:H15,"9-14"))*(4.5)+(COUNTIF(B15:H15,"9-13,17-20"))*(7)+(COUNTIF(B15:H15,"9-13"))*(4)+(COUNTIF(B15:H15,"9-12,18-20"))*(5)+(COUNTIF(B15:H15,"9-12,16-20"))*(7)+(COUNTIF(B15:H15,"9-12,16-19"))*(6)+(COUNTIF(B15:H15,"9-13,16-20"))*(6)+(COUNTIF(B15:H15,"9-12"))*(3)+(COUNTIF(B15:H15,"9-11:30"))*(2.5)+(COUNTIF(B15:H15,"9-11,16-19"))*(5)+(COUNTIF(B15:H15,"9-11"))*(2)+(COUNTIF(B15:H15,"9:30-11:30,16-19"))*(5)+(COUNTIF(B15:H15,"19-20"))*(1)+(COUNTIF(B15:H15,"17-20"))*(3)+(COUNTIF(B15:H15,"16-20"))*(4)+(COUNTIF(B15:H15,"15-20"))*(4.5)+(COUNTIF(B15:H15,"15-19"))*(4)+(COUNTIF(B15:H15,"14-20"))*(5.5)+(COUNTIF(B15:H15,"14-19"))*(4.5)+(COUNTIF(B15:H15,"14:30-20"))*(5)+(COUNTIF(B15:H15,"13-20"))*(6.25)+(COUNTIF(B15:H15,"13-19"))*(5.5)+(COUNTIF(B15:H15,"13-18"))*(4.5)+(COUNTIF(B15:H15,"13-17"))*(4)+(COUNTIF(B15:H15,"12-20"))*(7.25)+(COUNTIF(B15:H15,"10-20"))*(9)+(COUNTIF(B15:H15,"10-15"))*(4.5)+(COUNTIF(B15:H15,"12-18"))*(5.5)+(COUNTIF(B15:H15,"10-12,14-19"))*(6.5)+(COUNTIF(B15:H15,"10-14"))*(4)+(COUNTIF(B15:H15,"16-19"))*(3)</f>
        <v>9</v>
      </c>
      <c r="K15" s="250"/>
    </row>
    <row r="16" spans="1:24" ht="18" customHeight="1" x14ac:dyDescent="0.2">
      <c r="A16" s="5" t="s">
        <v>39</v>
      </c>
      <c r="B16" s="47" t="s">
        <v>18</v>
      </c>
      <c r="C16" s="20"/>
      <c r="D16" s="28"/>
      <c r="E16" s="47" t="s">
        <v>18</v>
      </c>
      <c r="F16" s="51"/>
      <c r="G16" s="57"/>
      <c r="H16" s="51"/>
      <c r="I16" s="5">
        <f t="shared" si="0"/>
        <v>2</v>
      </c>
      <c r="J16" s="249">
        <f>SUM(COUNTIF(B16:H16,"9-14:30"))*(5)+(COUNTIF(B16:H16,"9-20"))*(10)+(COUNTIF(B16:H16,"9-19"))*(9)+(COUNTIF(B16:H16,"9-18"))*(8)+(COUNTIF(B16:H16,"9-17"))*(7.25)+(COUNTIF(B16:H16,"9-16"))*(6.25)+(COUNTIF(B16:H16,"9-15"))*(5.5)+(COUNTIF(B16:H16,"9-14"))*(4.5)+(COUNTIF(B16:H16,"9-13,17-20"))*(7)+(COUNTIF(B16:H16,"9-13"))*(4)+(COUNTIF(B16:H16,"9-12,18-20"))*(5)+(COUNTIF(B16:H16,"9-12,16-20"))*(7)+(COUNTIF(B16:H16,"9-12,16-19"))*(6)+(COUNTIF(B16:H16,"9-13,16-20"))*(6)+(COUNTIF(B16:H16,"9-12"))*(3)+(COUNTIF(B16:H16,"9-11:30"))*(2.5)+(COUNTIF(B16:H16,"9-11,16-19"))*(5)+(COUNTIF(B16:H16,"9-11"))*(2)+(COUNTIF(B16:H16,"9:30-11:30,16-19"))*(5)+(COUNTIF(B16:H16,"19-20"))*(1)+(COUNTIF(B16:H16,"17-20"))*(3)+(COUNTIF(B16:H16,"16-20"))*(4)+(COUNTIF(B16:H16,"15-20"))*(4.5)+(COUNTIF(B16:H16,"15-19"))*(4)+(COUNTIF(B16:H16,"14-20"))*(5.5)+(COUNTIF(B16:H16,"14-19"))*(4.5)+(COUNTIF(B16:H16,"14:30-20"))*(5)+(COUNTIF(B16:H16,"13-20"))*(6.25)+(COUNTIF(B16:H16,"13-19"))*(5.5)+(COUNTIF(B16:H16,"13-18"))*(4.5)+(COUNTIF(B16:H16,"13-17"))*(4)+(COUNTIF(B16:H16,"12-20"))*(7.25)+(COUNTIF(B16:H16,"10-20"))*(9)+(COUNTIF(B16:H16,"10-15"))*(4.5)+(COUNTIF(B16:H16,"12-18"))*(5.5)+(COUNTIF(B16:H16,"10-12,14-19"))*(6.5)+(COUNTIF(B16:H16,"10-14"))*(4)+(COUNTIF(B16:H16,"16-19"))*(3)</f>
        <v>9</v>
      </c>
      <c r="K16" s="250"/>
    </row>
    <row r="17" spans="1:11" ht="18" customHeight="1" x14ac:dyDescent="0.2">
      <c r="A17" s="5" t="s">
        <v>40</v>
      </c>
      <c r="B17" s="11"/>
      <c r="C17" s="74"/>
      <c r="D17" s="74"/>
      <c r="E17" s="48"/>
      <c r="F17" s="47" t="s">
        <v>18</v>
      </c>
      <c r="G17" s="11" t="s">
        <v>33</v>
      </c>
      <c r="H17" s="11" t="s">
        <v>33</v>
      </c>
      <c r="I17" s="5">
        <f>COUNTIFS(B17:H17,"&lt;&gt;空",B17:H17,"&lt;&gt;休",B17:H17,"&lt;&gt;調",B17:H17,"&lt;&gt;",B17:H17,"&lt;&gt;調整休")</f>
        <v>3</v>
      </c>
      <c r="J17" s="249">
        <f>SUM(COUNTIF(B17:H17,"9-14:30"))*(5)+(COUNTIF(B17:H17,"9-20"))*(10)+(COUNTIF(B17:H17,"9-19"))*(9)+(COUNTIF(B17:H17,"9-18"))*(8)+(COUNTIF(B17:H17,"9-17"))*(7.25)+(COUNTIF(B17:H17,"9-16"))*(6.25)+(COUNTIF(B17:H17,"9-15"))*(5.5)+(COUNTIF(B17:H17,"9-14"))*(4.5)+(COUNTIF(B17:H17,"9-13,17-20"))*(7)+(COUNTIF(B17:H17,"9-13"))*(4)+(COUNTIF(B17:H17,"9-12,18-20"))*(5)+(COUNTIF(B17:H17,"9-12,16-20"))*(7)+(COUNTIF(B17:H17,"9-12,16-19"))*(6)+(COUNTIF(B17:H17,"9-13,16-20"))*(6)+(COUNTIF(B17:H17,"9-12"))*(3)+(COUNTIF(B17:H17,"9-11:30"))*(2.5)+(COUNTIF(B17:H17,"9-11,16-19"))*(5)+(COUNTIF(B17:H17,"9-11"))*(2)+(COUNTIF(B17:H17,"9:30-11:30,16-19"))*(5)+(COUNTIF(B17:H17,"19-20"))*(1)+(COUNTIF(B17:H17,"17-20"))*(3)+(COUNTIF(B17:H17,"16-20"))*(4)+(COUNTIF(B17:H17,"15-20"))*(4.5)+(COUNTIF(B17:H17,"15-19"))*(4)+(COUNTIF(B17:H17,"14-20"))*(5.5)+(COUNTIF(B17:H17,"14-19"))*(4.5)+(COUNTIF(B17:H17,"14:30-20"))*(5)+(COUNTIF(B17:H17,"13-20"))*(6.25)+(COUNTIF(B17:H17,"13-19"))*(5.5)+(COUNTIF(B17:H17,"13-18"))*(4.5)+(COUNTIF(B17:H17,"13-17"))*(4)+(COUNTIF(B17:H17,"12-20"))*(7.25)+(COUNTIF(B17:H17,"10-20"))*(9)+(COUNTIF(B17:H17,"10-15"))*(4.5)+(COUNTIF(B17:H17,"12-18"))*(5.5)+(COUNTIF(B17:H17,"10-12,14-19"))*(6.5)+(COUNTIF(B17:H17,"10-14"))*(4)+(COUNTIF(B17:H17,"16-19"))*(3)</f>
        <v>16.5</v>
      </c>
      <c r="K17" s="250"/>
    </row>
    <row r="18" spans="1:11" ht="18" customHeight="1" x14ac:dyDescent="0.2">
      <c r="A18" s="175"/>
      <c r="B18" s="219"/>
      <c r="C18" s="32"/>
      <c r="D18" s="33"/>
      <c r="E18" s="11"/>
      <c r="F18" s="34"/>
      <c r="G18" s="26"/>
      <c r="H18" s="11"/>
      <c r="I18" s="5"/>
      <c r="J18" s="249"/>
      <c r="K18" s="250"/>
    </row>
    <row r="19" spans="1:11" ht="18" customHeight="1" x14ac:dyDescent="0.2">
      <c r="A19" s="21" t="s">
        <v>0</v>
      </c>
      <c r="B19" s="22">
        <v>46188</v>
      </c>
      <c r="C19" s="22">
        <v>46189</v>
      </c>
      <c r="D19" s="22">
        <v>46190</v>
      </c>
      <c r="E19" s="22">
        <v>46191</v>
      </c>
      <c r="F19" s="22">
        <v>46192</v>
      </c>
      <c r="G19" s="22">
        <v>46193</v>
      </c>
      <c r="H19" s="22">
        <v>46194</v>
      </c>
      <c r="I19" s="7"/>
      <c r="J19" s="258" t="s">
        <v>2</v>
      </c>
      <c r="K19" s="259"/>
    </row>
    <row r="20" spans="1:11" ht="18" customHeight="1" x14ac:dyDescent="0.2">
      <c r="A20" s="21" t="s">
        <v>3</v>
      </c>
      <c r="B20" s="2" t="s">
        <v>4</v>
      </c>
      <c r="C20" s="20" t="s">
        <v>5</v>
      </c>
      <c r="D20" s="20" t="s">
        <v>6</v>
      </c>
      <c r="E20" s="2" t="s">
        <v>7</v>
      </c>
      <c r="F20" s="2" t="s">
        <v>8</v>
      </c>
      <c r="G20" s="2" t="s">
        <v>9</v>
      </c>
      <c r="H20" s="23" t="s">
        <v>10</v>
      </c>
      <c r="I20" s="8"/>
      <c r="J20" s="260"/>
      <c r="K20" s="261"/>
    </row>
    <row r="21" spans="1:11" ht="18.899999999999999" customHeight="1" x14ac:dyDescent="0.2">
      <c r="A21" s="16" t="s">
        <v>11</v>
      </c>
      <c r="B21" s="11"/>
      <c r="C21" s="24"/>
      <c r="D21" s="31"/>
      <c r="E21" s="11"/>
      <c r="F21" s="11"/>
      <c r="G21" s="11"/>
      <c r="H21" s="11"/>
      <c r="I21" s="45"/>
      <c r="J21" s="262"/>
      <c r="K21" s="263"/>
    </row>
    <row r="22" spans="1:11" ht="18" customHeight="1" x14ac:dyDescent="0.2">
      <c r="A22" s="5" t="s">
        <v>59</v>
      </c>
      <c r="B22" s="47" t="s">
        <v>19</v>
      </c>
      <c r="C22" s="87"/>
      <c r="D22" s="28"/>
      <c r="E22" s="47"/>
      <c r="F22" s="11" t="s">
        <v>19</v>
      </c>
      <c r="G22" s="11" t="s">
        <v>18</v>
      </c>
      <c r="H22" s="11" t="s">
        <v>19</v>
      </c>
      <c r="I22" s="5">
        <f>COUNTIFS(B22:H22,"&lt;&gt;空",B22:H22,"&lt;&gt;休",B22:H22,"&lt;&gt;調",B22:H22,"&lt;&gt;",B22:H22,"&lt;&gt;調整休")</f>
        <v>4</v>
      </c>
      <c r="J22" s="249">
        <f>SUM(COUNTIF(B22:H22,"9-14:30"))*(5)+(COUNTIF(B22:H22,"9-20"))*(10)+(COUNTIF(B22:H22,"9-19"))*(9)+(COUNTIF(B22:H22,"9-18"))*(8)+(COUNTIF(B22:H22,"9-17"))*(7.25)+(COUNTIF(B22:H22,"9-16"))*(6.25)+(COUNTIF(B22:H22,"9-15"))*(5.5)+(COUNTIF(B22:H22,"9-14"))*(4.5)+(COUNTIF(B22:H22,"9-13,17-20"))*(7)+(COUNTIF(B22:H22,"9-13"))*(4)+(COUNTIF(B22:H22,"9-12,18-20"))*(5)+(COUNTIF(B22:H22,"9-12,16-20"))*(7)+(COUNTIF(B22:H22,"9-12,16-19"))*(6)+(COUNTIF(B22:H22,"9-13,16-20"))*(6)+(COUNTIF(B22:H22,"9-12"))*(3)+(COUNTIF(B22:H22,"9-11:30"))*(2.5)+(COUNTIF(B22:H22,"9-11,16-19"))*(5)+(COUNTIF(B22:H22,"9-11"))*(2)+(COUNTIF(B22:H22,"9:30-11:30,16-19"))*(5)+(COUNTIF(B22:H22,"19-20"))*(1)+(COUNTIF(B22:H22,"17-20"))*(3)+(COUNTIF(B22:H22,"16-20"))*(4)+(COUNTIF(B22:H22,"15-20"))*(4.5)+(COUNTIF(B22:H22,"15-19"))*(4)+(COUNTIF(B22:H22,"14-20"))*(5.5)+(COUNTIF(B22:H22,"14-19"))*(4.5)+(COUNTIF(B22:H22,"14:30-20"))*(5)+(COUNTIF(B22:H22,"13-20"))*(6.25)+(COUNTIF(B22:H22,"13-19"))*(5.5)+(COUNTIF(B22:H22,"13-18"))*(4.5)+(COUNTIF(B22:H22,"13-17"))*(4)+(COUNTIF(B22:H22,"12-20"))*(7.25)+(COUNTIF(B22:H22,"10-20"))*(9)+(COUNTIF(B22:H22,"10-15"))*(4.5)+(COUNTIF(B22:H22,"12-18"))*(5.5)+(COUNTIF(B22:H22,"10-12,14-19"))*(6.5)+(COUNTIF(B22:H22,"10-14"))*(4)+(COUNTIF(B22:H22,"16-19"))*(3)</f>
        <v>18</v>
      </c>
      <c r="K22" s="250"/>
    </row>
    <row r="23" spans="1:11" ht="18" customHeight="1" x14ac:dyDescent="0.2">
      <c r="A23" s="5" t="s">
        <v>38</v>
      </c>
      <c r="B23" s="11"/>
      <c r="C23" s="20"/>
      <c r="D23" s="28"/>
      <c r="E23" s="47" t="s">
        <v>19</v>
      </c>
      <c r="F23" s="17"/>
      <c r="G23" s="11" t="s">
        <v>19</v>
      </c>
      <c r="H23" s="11"/>
      <c r="I23" s="5">
        <f>COUNTIFS(B23:H23,"&lt;&gt;空",B23:H23,"&lt;&gt;休",B23:H23,"&lt;&gt;調",B23:H23,"&lt;&gt;",B23:H23,"&lt;&gt;調整休")</f>
        <v>2</v>
      </c>
      <c r="J23" s="249">
        <f>SUM(COUNTIF(B23:H23,"9-14:30"))*(5)+(COUNTIF(B23:H23,"9-20"))*(10)+(COUNTIF(B23:H23,"9-19"))*(9)+(COUNTIF(B23:H23,"9-18"))*(8)+(COUNTIF(B23:H23,"9-17"))*(7.25)+(COUNTIF(B23:H23,"9-16"))*(6.25)+(COUNTIF(B23:H23,"9-15"))*(5.5)+(COUNTIF(B23:H23,"9-14"))*(4.5)+(COUNTIF(B23:H23,"9-13,17-20"))*(7)+(COUNTIF(B23:H23,"9-13"))*(4)+(COUNTIF(B23:H23,"9-12,18-20"))*(5)+(COUNTIF(B23:H23,"9-12,16-20"))*(7)+(COUNTIF(B23:H23,"9-12,16-19"))*(6)+(COUNTIF(B23:H23,"9-13,16-20"))*(6)+(COUNTIF(B23:H23,"9-12"))*(3)+(COUNTIF(B23:H23,"9-11:30"))*(2.5)+(COUNTIF(B23:H23,"9-11,16-19"))*(5)+(COUNTIF(B23:H23,"9-11"))*(2)+(COUNTIF(B23:H23,"9:30-11:30,16-19"))*(5)+(COUNTIF(B23:H23,"19-20"))*(1)+(COUNTIF(B23:H23,"17-20"))*(3)+(COUNTIF(B23:H23,"16-20"))*(4)+(COUNTIF(B23:H23,"15-20"))*(4.5)+(COUNTIF(B23:H23,"15-19"))*(4)+(COUNTIF(B23:H23,"14-20"))*(5.5)+(COUNTIF(B23:H23,"14-19"))*(4.5)+(COUNTIF(B23:H23,"14:30-20"))*(5)+(COUNTIF(B23:H23,"13-20"))*(6.25)+(COUNTIF(B23:H23,"13-19"))*(5.5)+(COUNTIF(B23:H23,"13-18"))*(4.5)+(COUNTIF(B23:H23,"13-17"))*(4)+(COUNTIF(B23:H23,"12-20"))*(7.25)+(COUNTIF(B23:H23,"10-20"))*(9)+(COUNTIF(B23:H23,"10-15"))*(4.5)+(COUNTIF(B23:H23,"12-18"))*(5.5)+(COUNTIF(B23:H23,"10-12,14-19"))*(6.5)+(COUNTIF(B23:H23,"10-14"))*(4)+(COUNTIF(B23:H23,"16-19"))*(3)</f>
        <v>9</v>
      </c>
      <c r="K23" s="250"/>
    </row>
    <row r="24" spans="1:11" ht="18" customHeight="1" x14ac:dyDescent="0.2">
      <c r="A24" s="5" t="s">
        <v>39</v>
      </c>
      <c r="B24" s="47" t="s">
        <v>18</v>
      </c>
      <c r="C24" s="20"/>
      <c r="D24" s="28"/>
      <c r="E24" s="47" t="s">
        <v>18</v>
      </c>
      <c r="F24" s="11" t="s">
        <v>18</v>
      </c>
      <c r="G24" s="11"/>
      <c r="H24" s="11" t="s">
        <v>18</v>
      </c>
      <c r="I24" s="5">
        <f>COUNTIFS(B24:H24,"&lt;&gt;空",B24:H24,"&lt;&gt;休",B24:H24,"&lt;&gt;調",B24:H24,"&lt;&gt;",B24:H24,"&lt;&gt;調整休")</f>
        <v>4</v>
      </c>
      <c r="J24" s="249">
        <f>SUM(COUNTIF(B24:H24,"9-14:30"))*(5)+(COUNTIF(B24:H24,"9-20"))*(10)+(COUNTIF(B24:H24,"9-19"))*(9)+(COUNTIF(B24:H24,"9-18"))*(8)+(COUNTIF(B24:H24,"9-17"))*(7.25)+(COUNTIF(B24:H24,"9-16"))*(6.25)+(COUNTIF(B24:H24,"9-15"))*(5.5)+(COUNTIF(B24:H24,"9-14"))*(4.5)+(COUNTIF(B24:H24,"9-13,17-20"))*(7)+(COUNTIF(B24:H24,"9-13"))*(4)+(COUNTIF(B24:H24,"9-12,18-20"))*(5)+(COUNTIF(B24:H24,"9-12,16-20"))*(7)+(COUNTIF(B24:H24,"9-12,16-19"))*(6)+(COUNTIF(B24:H24,"9-13,16-20"))*(6)+(COUNTIF(B24:H24,"9-12"))*(3)+(COUNTIF(B24:H24,"9-11:30"))*(2.5)+(COUNTIF(B24:H24,"9-11,16-19"))*(5)+(COUNTIF(B24:H24,"9-11"))*(2)+(COUNTIF(B24:H24,"9:30-11:30,16-19"))*(5)+(COUNTIF(B24:H24,"19-20"))*(1)+(COUNTIF(B24:H24,"17-20"))*(3)+(COUNTIF(B24:H24,"16-20"))*(4)+(COUNTIF(B24:H24,"15-20"))*(4.5)+(COUNTIF(B24:H24,"15-19"))*(4)+(COUNTIF(B24:H24,"14-20"))*(5.5)+(COUNTIF(B24:H24,"14-19"))*(4.5)+(COUNTIF(B24:H24,"14:30-20"))*(5)+(COUNTIF(B24:H24,"13-20"))*(6.25)+(COUNTIF(B24:H24,"13-19"))*(5.5)+(COUNTIF(B24:H24,"13-18"))*(4.5)+(COUNTIF(B24:H24,"13-17"))*(4)+(COUNTIF(B24:H24,"12-20"))*(7.25)+(COUNTIF(B24:H24,"10-20"))*(9)+(COUNTIF(B24:H24,"10-15"))*(4.5)+(COUNTIF(B24:H24,"12-18"))*(5.5)+(COUNTIF(B24:H24,"10-12,14-19"))*(6.5)+(COUNTIF(B24:H24,"10-14"))*(4)+(COUNTIF(B24:H24,"16-19"))*(3)</f>
        <v>18</v>
      </c>
      <c r="K24" s="250"/>
    </row>
    <row r="25" spans="1:11" ht="18" customHeight="1" x14ac:dyDescent="0.2">
      <c r="A25" s="5" t="s">
        <v>40</v>
      </c>
      <c r="B25" s="11"/>
      <c r="C25" s="74"/>
      <c r="D25" s="74"/>
      <c r="E25" s="48"/>
      <c r="F25" s="34"/>
      <c r="G25" s="11" t="s">
        <v>33</v>
      </c>
      <c r="H25" s="11" t="s">
        <v>33</v>
      </c>
      <c r="I25" s="5">
        <f>COUNTIFS(B25:H25,"&lt;&gt;空",B25:H25,"&lt;&gt;休",B25:H25,"&lt;&gt;調",B25:H25,"&lt;&gt;",B25:H25,"&lt;&gt;調整休")</f>
        <v>2</v>
      </c>
      <c r="J25" s="249">
        <f>SUM(COUNTIF(B25:H25,"9-14:30"))*(5)+(COUNTIF(B25:H25,"9-20"))*(10)+(COUNTIF(B25:H25,"9-19"))*(9)+(COUNTIF(B25:H25,"9-18"))*(8)+(COUNTIF(B25:H25,"9-17"))*(7.25)+(COUNTIF(B25:H25,"9-16"))*(6.25)+(COUNTIF(B25:H25,"9-15"))*(5.5)+(COUNTIF(B25:H25,"9-14"))*(4.5)+(COUNTIF(B25:H25,"9-13,17-20"))*(7)+(COUNTIF(B25:H25,"9-13"))*(4)+(COUNTIF(B25:H25,"9-12,18-20"))*(5)+(COUNTIF(B25:H25,"9-12,16-20"))*(7)+(COUNTIF(B25:H25,"9-12,16-19"))*(6)+(COUNTIF(B25:H25,"9-13,16-20"))*(6)+(COUNTIF(B25:H25,"9-12"))*(3)+(COUNTIF(B25:H25,"9-11:30"))*(2.5)+(COUNTIF(B25:H25,"9-11,16-19"))*(5)+(COUNTIF(B25:H25,"9-11"))*(2)+(COUNTIF(B25:H25,"9:30-11:30,16-19"))*(5)+(COUNTIF(B25:H25,"19-20"))*(1)+(COUNTIF(B25:H25,"17-20"))*(3)+(COUNTIF(B25:H25,"16-20"))*(4)+(COUNTIF(B25:H25,"15-20"))*(4.5)+(COUNTIF(B25:H25,"15-19"))*(4)+(COUNTIF(B25:H25,"14-20"))*(5.5)+(COUNTIF(B25:H25,"14-19"))*(4.5)+(COUNTIF(B25:H25,"14:30-20"))*(5)+(COUNTIF(B25:H25,"13-20"))*(6.25)+(COUNTIF(B25:H25,"13-19"))*(5.5)+(COUNTIF(B25:H25,"13-18"))*(4.5)+(COUNTIF(B25:H25,"13-17"))*(4)+(COUNTIF(B25:H25,"12-20"))*(7.25)+(COUNTIF(B25:H25,"10-20"))*(9)+(COUNTIF(B25:H25,"10-15"))*(4.5)+(COUNTIF(B25:H25,"12-18"))*(5.5)+(COUNTIF(B25:H25,"10-12,14-19"))*(6.5)+(COUNTIF(B25:H25,"10-14"))*(4)+(COUNTIF(B25:H25,"16-19"))*(3)</f>
        <v>12</v>
      </c>
      <c r="K25" s="250"/>
    </row>
    <row r="26" spans="1:11" ht="18" customHeight="1" x14ac:dyDescent="0.2">
      <c r="A26" s="175"/>
      <c r="B26" s="219"/>
      <c r="C26" s="32"/>
      <c r="D26" s="33"/>
      <c r="E26" s="11"/>
      <c r="F26" s="34"/>
      <c r="G26" s="26"/>
      <c r="H26" s="11"/>
      <c r="I26" s="5">
        <f>COUNTIFS(B26:H26,"&lt;&gt;空",B26:H26,"&lt;&gt;休",B26:H26,"&lt;&gt;調",B26:H26,"&lt;&gt;",B26:H26,"&lt;&gt;調整休")</f>
        <v>0</v>
      </c>
      <c r="J26" s="249">
        <f>SUM(COUNTIF(B26:H26,"9-14:30"))*(5)+(COUNTIF(B26:H26,"9-20"))*(10)+(COUNTIF(B26:H26,"9-19"))*(9)+(COUNTIF(B26:H26,"9-18"))*(8)+(COUNTIF(B26:H26,"9-17"))*(7.25)+(COUNTIF(B26:H26,"9-16"))*(6.25)+(COUNTIF(B26:H26,"9-15"))*(5.5)+(COUNTIF(B26:H26,"9-14"))*(4.5)+(COUNTIF(B26:H26,"9-13,17-20"))*(7)+(COUNTIF(B26:H26,"9-13"))*(4)+(COUNTIF(B26:H26,"9-12,18-20"))*(5)+(COUNTIF(B26:H26,"9-12,16-20"))*(7)+(COUNTIF(B26:H26,"9-12,16-19"))*(6)+(COUNTIF(B26:H26,"9-13,16-20"))*(6)+(COUNTIF(B26:H26,"9-12"))*(3)+(COUNTIF(B26:H26,"9-11:30"))*(2.5)+(COUNTIF(B26:H26,"9-11,16-19"))*(5)+(COUNTIF(B26:H26,"9-11"))*(2)+(COUNTIF(B26:H26,"9:30-11:30,16-19"))*(5)+(COUNTIF(B26:H26,"19-20"))*(1)+(COUNTIF(B26:H26,"17-20"))*(3)+(COUNTIF(B26:H26,"16-20"))*(4)+(COUNTIF(B26:H26,"15-20"))*(4.5)+(COUNTIF(B26:H26,"15-19"))*(4)+(COUNTIF(B26:H26,"14-20"))*(5.5)+(COUNTIF(B26:H26,"14-19"))*(4.5)+(COUNTIF(B26:H26,"14:30-20"))*(5)+(COUNTIF(B26:H26,"13-20"))*(6.25)+(COUNTIF(B26:H26,"13-19"))*(5.5)+(COUNTIF(B26:H26,"13-18"))*(4.5)+(COUNTIF(B26:H26,"13-17"))*(4)+(COUNTIF(B26:H26,"12-20"))*(7.25)+(COUNTIF(B26:H26,"10-20"))*(9)+(COUNTIF(B26:H26,"10-15"))*(4.5)+(COUNTIF(B26:H26,"12-18"))*(5.5)+(COUNTIF(B26:H26,"10-12,14-19"))*(6.5)+(COUNTIF(B26:H26,"10-14"))*(4)+(COUNTIF(B26:H26,"16-19"))*(3)</f>
        <v>0</v>
      </c>
      <c r="K26" s="250"/>
    </row>
    <row r="27" spans="1:11" ht="18" customHeight="1" x14ac:dyDescent="0.2">
      <c r="A27" s="21" t="s">
        <v>0</v>
      </c>
      <c r="B27" s="60">
        <v>46195</v>
      </c>
      <c r="C27" s="60">
        <v>46196</v>
      </c>
      <c r="D27" s="60">
        <v>46197</v>
      </c>
      <c r="E27" s="60">
        <v>46198</v>
      </c>
      <c r="F27" s="60">
        <v>46199</v>
      </c>
      <c r="G27" s="60">
        <v>46200</v>
      </c>
      <c r="H27" s="60">
        <v>46201</v>
      </c>
      <c r="I27" s="7"/>
      <c r="J27" s="258" t="s">
        <v>2</v>
      </c>
      <c r="K27" s="259"/>
    </row>
    <row r="28" spans="1:11" ht="18" customHeight="1" x14ac:dyDescent="0.2">
      <c r="A28" s="21" t="s">
        <v>3</v>
      </c>
      <c r="B28" s="2" t="s">
        <v>4</v>
      </c>
      <c r="C28" s="20" t="s">
        <v>5</v>
      </c>
      <c r="D28" s="20" t="s">
        <v>6</v>
      </c>
      <c r="E28" s="2" t="s">
        <v>7</v>
      </c>
      <c r="F28" s="2" t="s">
        <v>8</v>
      </c>
      <c r="G28" s="2" t="s">
        <v>9</v>
      </c>
      <c r="H28" s="23" t="s">
        <v>10</v>
      </c>
      <c r="I28" s="8"/>
      <c r="J28" s="260"/>
      <c r="K28" s="261"/>
    </row>
    <row r="29" spans="1:11" ht="18" customHeight="1" x14ac:dyDescent="0.2">
      <c r="A29" s="16" t="s">
        <v>12</v>
      </c>
      <c r="B29" s="11"/>
      <c r="C29" s="24"/>
      <c r="D29" s="31"/>
      <c r="E29" s="11"/>
      <c r="F29" s="264" t="s">
        <v>50</v>
      </c>
      <c r="G29" s="264"/>
      <c r="H29" s="264"/>
      <c r="I29" s="5"/>
      <c r="J29" s="249"/>
      <c r="K29" s="250"/>
    </row>
    <row r="30" spans="1:11" ht="18" customHeight="1" x14ac:dyDescent="0.2">
      <c r="A30" s="5" t="s">
        <v>59</v>
      </c>
      <c r="B30" s="47" t="s">
        <v>19</v>
      </c>
      <c r="C30" s="87"/>
      <c r="D30" s="28"/>
      <c r="E30" s="47"/>
      <c r="F30" s="11" t="s">
        <v>19</v>
      </c>
      <c r="G30" s="11" t="s">
        <v>18</v>
      </c>
      <c r="H30" s="11" t="s">
        <v>60</v>
      </c>
      <c r="I30" s="5">
        <f t="shared" ref="I30:I32" si="1">COUNTIFS(B30:H30,"&lt;&gt;空",B30:H30,"&lt;&gt;休",B30:H30,"&lt;&gt;調",B30:H30,"&lt;&gt;",B30:H30,"&lt;&gt;調整休")</f>
        <v>4</v>
      </c>
      <c r="J30" s="249">
        <v>19.75</v>
      </c>
      <c r="K30" s="250"/>
    </row>
    <row r="31" spans="1:11" ht="18" customHeight="1" x14ac:dyDescent="0.2">
      <c r="A31" s="5" t="s">
        <v>38</v>
      </c>
      <c r="B31" s="11"/>
      <c r="C31" s="20"/>
      <c r="D31" s="28"/>
      <c r="E31" s="47" t="s">
        <v>19</v>
      </c>
      <c r="F31" s="17"/>
      <c r="G31" s="11" t="s">
        <v>19</v>
      </c>
      <c r="H31" s="11"/>
      <c r="I31" s="5">
        <f t="shared" si="1"/>
        <v>2</v>
      </c>
      <c r="J31" s="249">
        <f>SUM(COUNTIF(B31:H31,"9-14:30"))*(5)+(COUNTIF(B31:H31,"9-20"))*(10)+(COUNTIF(B31:H31,"9-19"))*(9)+(COUNTIF(B31:H31,"9-18"))*(8)+(COUNTIF(B31:H31,"9-17"))*(7.25)+(COUNTIF(B31:H31,"9-16"))*(6.25)+(COUNTIF(B31:H31,"9-15"))*(5.5)+(COUNTIF(B31:H31,"9-14"))*(4.5)+(COUNTIF(B31:H31,"9-13,17-20"))*(7)+(COUNTIF(B31:H31,"9-13"))*(4)+(COUNTIF(B31:H31,"9-12,18-20"))*(5)+(COUNTIF(B31:H31,"9-12,16-20"))*(7)+(COUNTIF(B31:H31,"9-12,16-19"))*(6)+(COUNTIF(B31:H31,"9-13,16-20"))*(6)+(COUNTIF(B31:H31,"9-12"))*(3)+(COUNTIF(B31:H31,"9-11:30"))*(2.5)+(COUNTIF(B31:H31,"9-11,16-19"))*(5)+(COUNTIF(B31:H31,"9-11"))*(2)+(COUNTIF(B31:H31,"9:30-11:30,16-19"))*(5)+(COUNTIF(B31:H31,"19-20"))*(1)+(COUNTIF(B31:H31,"17-20"))*(3)+(COUNTIF(B31:H31,"16-20"))*(4)+(COUNTIF(B31:H31,"15-20"))*(4.5)+(COUNTIF(B31:H31,"15-19"))*(4)+(COUNTIF(B31:H31,"14-20"))*(5.5)+(COUNTIF(B31:H31,"14-19"))*(4.5)+(COUNTIF(B31:H31,"14:30-20"))*(5)+(COUNTIF(B31:H31,"13-20"))*(6.25)+(COUNTIF(B31:H31,"13-19"))*(5.5)+(COUNTIF(B31:H31,"13-18"))*(4.5)+(COUNTIF(B31:H31,"13-17"))*(4)+(COUNTIF(B31:H31,"12-20"))*(7.25)+(COUNTIF(B31:H31,"10-20"))*(9)+(COUNTIF(B31:H31,"10-15"))*(4.5)+(COUNTIF(B31:H31,"12-18"))*(5.5)+(COUNTIF(B31:H31,"10-12,14-19"))*(6.5)+(COUNTIF(B31:H31,"10-14"))*(4)+(COUNTIF(B31:H31,"16-19"))*(3)</f>
        <v>9</v>
      </c>
      <c r="K31" s="250"/>
    </row>
    <row r="32" spans="1:11" ht="18" customHeight="1" x14ac:dyDescent="0.2">
      <c r="A32" s="5" t="s">
        <v>39</v>
      </c>
      <c r="B32" s="47" t="s">
        <v>18</v>
      </c>
      <c r="C32" s="20"/>
      <c r="D32" s="28"/>
      <c r="E32" s="47" t="s">
        <v>18</v>
      </c>
      <c r="F32" s="11" t="s">
        <v>18</v>
      </c>
      <c r="G32" s="11" t="s">
        <v>18</v>
      </c>
      <c r="H32" s="11" t="s">
        <v>49</v>
      </c>
      <c r="I32" s="5">
        <f t="shared" si="1"/>
        <v>5</v>
      </c>
      <c r="J32" s="249">
        <f>SUM(COUNTIF(B32:H32,"9-14:30"))*(5)+(COUNTIF(B32:H32,"9-20"))*(10)+(COUNTIF(B32:H32,"9-19"))*(9)+(COUNTIF(B32:H32,"9-18"))*(8)+(COUNTIF(B32:H32,"9-17"))*(7.25)+(COUNTIF(B32:H32,"9-16"))*(6.25)+(COUNTIF(B32:H32,"9-15"))*(5.5)+(COUNTIF(B32:H32,"9-14"))*(4.5)+(COUNTIF(B32:H32,"9-13,17-20"))*(7)+(COUNTIF(B32:H32,"9-13"))*(4)+(COUNTIF(B32:H32,"9-12,18-20"))*(5)+(COUNTIF(B32:H32,"9-12,16-20"))*(7)+(COUNTIF(B32:H32,"9-12,16-19"))*(6)+(COUNTIF(B32:H32,"9-13,16-20"))*(6)+(COUNTIF(B32:H32,"9-12"))*(3)+(COUNTIF(B32:H32,"9-11:30"))*(2.5)+(COUNTIF(B32:H32,"9-11,16-19"))*(5)+(COUNTIF(B32:H32,"9-11"))*(2)+(COUNTIF(B32:H32,"9:30-11:30,16-19"))*(5)+(COUNTIF(B32:H32,"19-20"))*(1)+(COUNTIF(B32:H32,"17-20"))*(3)+(COUNTIF(B32:H32,"16-20"))*(4)+(COUNTIF(B32:H32,"15-20"))*(4.5)+(COUNTIF(B32:H32,"15-19"))*(4)+(COUNTIF(B32:H32,"14-20"))*(5.5)+(COUNTIF(B32:H32,"14-19"))*(4.5)+(COUNTIF(B32:H32,"14:30-20"))*(5)+(COUNTIF(B32:H32,"13-20"))*(6.25)+(COUNTIF(B32:H32,"13-19"))*(5.5)+(COUNTIF(B32:H32,"13-18"))*(4.5)+(COUNTIF(B32:H32,"13-17"))*(4)+(COUNTIF(B32:H32,"12-20"))*(7.25)+(COUNTIF(B32:H32,"10-20"))*(9)+(COUNTIF(B32:H32,"10-15"))*(4.5)+(COUNTIF(B32:H32,"12-18"))*(5.5)+(COUNTIF(B32:H32,"10-12,14-19"))*(6.5)+(COUNTIF(B32:H32,"10-14"))*(4)+(COUNTIF(B32:H32,"16-19"))*(3)</f>
        <v>24.25</v>
      </c>
      <c r="K32" s="250"/>
    </row>
    <row r="33" spans="1:14" ht="18" customHeight="1" x14ac:dyDescent="0.2">
      <c r="A33" s="5" t="s">
        <v>40</v>
      </c>
      <c r="B33" s="11"/>
      <c r="C33" s="74"/>
      <c r="D33" s="74"/>
      <c r="E33" s="48"/>
      <c r="F33" s="34"/>
      <c r="G33" s="47" t="s">
        <v>19</v>
      </c>
      <c r="H33" s="11" t="s">
        <v>33</v>
      </c>
      <c r="I33" s="5">
        <f>COUNTIFS(B33:H33,"&lt;&gt;空",B33:H33,"&lt;&gt;休",B33:H33,"&lt;&gt;調",B33:H33,"&lt;&gt;",B33:H33,"&lt;&gt;調整休")</f>
        <v>2</v>
      </c>
      <c r="J33" s="249">
        <f>SUM(COUNTIF(B33:H33,"9-14:30"))*(5)+(COUNTIF(B33:H33,"9-20"))*(10)+(COUNTIF(B33:H33,"9-19"))*(9)+(COUNTIF(B33:H33,"9-18"))*(8)+(COUNTIF(B33:H33,"9-17"))*(7.25)+(COUNTIF(B33:H33,"9-16"))*(6.25)+(COUNTIF(B33:H33,"9-15"))*(5.5)+(COUNTIF(B33:H33,"9-14"))*(4.5)+(COUNTIF(B33:H33,"9-13,17-20"))*(7)+(COUNTIF(B33:H33,"9-13"))*(4)+(COUNTIF(B33:H33,"9-12,18-20"))*(5)+(COUNTIF(B33:H33,"9-12,16-20"))*(7)+(COUNTIF(B33:H33,"9-12,16-19"))*(6)+(COUNTIF(B33:H33,"9-13,16-20"))*(6)+(COUNTIF(B33:H33,"9-12"))*(3)+(COUNTIF(B33:H33,"9-11:30"))*(2.5)+(COUNTIF(B33:H33,"9-11,16-19"))*(5)+(COUNTIF(B33:H33,"9-11"))*(2)+(COUNTIF(B33:H33,"9:30-11:30,16-19"))*(5)+(COUNTIF(B33:H33,"19-20"))*(1)+(COUNTIF(B33:H33,"17-20"))*(3)+(COUNTIF(B33:H33,"16-20"))*(4)+(COUNTIF(B33:H33,"15-20"))*(4.5)+(COUNTIF(B33:H33,"15-19"))*(4)+(COUNTIF(B33:H33,"14-20"))*(5.5)+(COUNTIF(B33:H33,"14-19"))*(4.5)+(COUNTIF(B33:H33,"14:30-20"))*(5)+(COUNTIF(B33:H33,"13-20"))*(6.25)+(COUNTIF(B33:H33,"13-19"))*(5.5)+(COUNTIF(B33:H33,"13-18"))*(4.5)+(COUNTIF(B33:H33,"13-17"))*(4)+(COUNTIF(B33:H33,"12-20"))*(7.25)+(COUNTIF(B33:H33,"10-20"))*(9)+(COUNTIF(B33:H33,"10-15"))*(4.5)+(COUNTIF(B33:H33,"12-18"))*(5.5)+(COUNTIF(B33:H33,"10-12,14-19"))*(6.5)+(COUNTIF(B33:H33,"10-14"))*(4)+(COUNTIF(B33:H33,"16-19"))*(3)</f>
        <v>10.5</v>
      </c>
      <c r="K33" s="250"/>
    </row>
    <row r="34" spans="1:14" ht="18" customHeight="1" x14ac:dyDescent="0.2">
      <c r="A34" s="175"/>
      <c r="B34" s="219"/>
      <c r="C34" s="32"/>
      <c r="D34" s="33"/>
      <c r="E34" s="11"/>
      <c r="F34" s="34"/>
      <c r="G34" s="26"/>
      <c r="H34" s="11"/>
      <c r="I34" s="5">
        <f>COUNTIFS(B34:H34,"&lt;&gt;空",B34:H34,"&lt;&gt;休",B34:H34,"&lt;&gt;調",B34:H34,"&lt;&gt;",B34:H34,"&lt;&gt;調整休")</f>
        <v>0</v>
      </c>
      <c r="J34" s="249">
        <f>SUM(COUNTIF(B34:H34,"9-14:30"))*(5)+(COUNTIF(B34:H34,"9-20"))*(10)+(COUNTIF(B34:H34,"9-19"))*(9)+(COUNTIF(B34:H34,"9-18"))*(8)+(COUNTIF(B34:H34,"9-17"))*(7.25)+(COUNTIF(B34:H34,"9-16"))*(6.25)+(COUNTIF(B34:H34,"9-15"))*(5.5)+(COUNTIF(B34:H34,"9-14"))*(4.5)+(COUNTIF(B34:H34,"9-13,17-20"))*(7)+(COUNTIF(B34:H34,"9-13"))*(4)+(COUNTIF(B34:H34,"9-12,18-20"))*(5)+(COUNTIF(B34:H34,"9-12,16-20"))*(7)+(COUNTIF(B34:H34,"9-12,16-19"))*(6)+(COUNTIF(B34:H34,"9-13,16-20"))*(6)+(COUNTIF(B34:H34,"9-12"))*(3)+(COUNTIF(B34:H34,"9-11:30"))*(2.5)+(COUNTIF(B34:H34,"9-11,16-19"))*(5)+(COUNTIF(B34:H34,"9-11"))*(2)+(COUNTIF(B34:H34,"9:30-11:30,16-19"))*(5)+(COUNTIF(B34:H34,"19-20"))*(1)+(COUNTIF(B34:H34,"17-20"))*(3)+(COUNTIF(B34:H34,"16-20"))*(4)+(COUNTIF(B34:H34,"15-20"))*(4.5)+(COUNTIF(B34:H34,"15-19"))*(4)+(COUNTIF(B34:H34,"14-20"))*(5.5)+(COUNTIF(B34:H34,"14-19"))*(4.5)+(COUNTIF(B34:H34,"14:30-20"))*(5)+(COUNTIF(B34:H34,"13-20"))*(6.25)+(COUNTIF(B34:H34,"13-19"))*(5.5)+(COUNTIF(B34:H34,"13-18"))*(4.5)+(COUNTIF(B34:H34,"13-17"))*(4)+(COUNTIF(B34:H34,"12-20"))*(7.25)+(COUNTIF(B34:H34,"10-20"))*(9)+(COUNTIF(B34:H34,"10-15"))*(4.5)+(COUNTIF(B34:H34,"12-18"))*(5.5)+(COUNTIF(B34:H34,"10-12,14-19"))*(6.5)+(COUNTIF(B34:H34,"10-14"))*(4)+(COUNTIF(B34:H34,"16-19"))*(3)</f>
        <v>0</v>
      </c>
      <c r="K34" s="250"/>
    </row>
    <row r="35" spans="1:14" ht="18" customHeight="1" x14ac:dyDescent="0.2">
      <c r="A35" s="21" t="s">
        <v>0</v>
      </c>
      <c r="B35" s="22">
        <v>46202</v>
      </c>
      <c r="C35" s="22">
        <v>46203</v>
      </c>
      <c r="D35" s="22"/>
      <c r="E35" s="22"/>
      <c r="F35" s="22"/>
      <c r="G35" s="22"/>
      <c r="H35" s="22"/>
      <c r="I35" s="7"/>
      <c r="J35" s="258" t="s">
        <v>2</v>
      </c>
      <c r="K35" s="259"/>
    </row>
    <row r="36" spans="1:14" ht="18" customHeight="1" x14ac:dyDescent="0.2">
      <c r="A36" s="21" t="s">
        <v>3</v>
      </c>
      <c r="B36" s="2" t="s">
        <v>4</v>
      </c>
      <c r="C36" s="174" t="s">
        <v>5</v>
      </c>
      <c r="D36" s="20"/>
      <c r="E36" s="2"/>
      <c r="F36" s="2"/>
      <c r="G36" s="2"/>
      <c r="H36" s="23"/>
      <c r="I36" s="8"/>
      <c r="J36" s="260"/>
      <c r="K36" s="261"/>
    </row>
    <row r="37" spans="1:14" ht="18.899999999999999" customHeight="1" x14ac:dyDescent="0.2">
      <c r="A37" s="16" t="s">
        <v>11</v>
      </c>
      <c r="B37" s="11"/>
      <c r="C37" s="24"/>
      <c r="D37" s="31"/>
      <c r="E37" s="31"/>
      <c r="F37" s="31"/>
      <c r="G37" s="31"/>
      <c r="H37" s="31"/>
      <c r="I37" s="45"/>
      <c r="J37" s="25"/>
      <c r="K37" s="43"/>
    </row>
    <row r="38" spans="1:14" ht="18" customHeight="1" x14ac:dyDescent="0.2">
      <c r="A38" s="5" t="s">
        <v>59</v>
      </c>
      <c r="B38" s="47" t="s">
        <v>19</v>
      </c>
      <c r="C38" s="87"/>
      <c r="D38" s="28"/>
      <c r="E38" s="28"/>
      <c r="F38" s="28"/>
      <c r="G38" s="28"/>
      <c r="H38" s="28"/>
      <c r="I38" s="5">
        <f>COUNTIFS(B38:H38,"&lt;&gt;空",B38:H38,"&lt;&gt;休",B38:H38,"&lt;&gt;調",B38:H38,"&lt;&gt;",B38:H38,"&lt;&gt;調整休")</f>
        <v>1</v>
      </c>
      <c r="J38" s="249">
        <f>SUM(COUNTIF(B38:H38,"9-14:30"))*(5)+(COUNTIF(B38:H38,"9-20"))*(10)+(COUNTIF(B38:H38,"9-19"))*(9)+(COUNTIF(B38:H38,"9-18"))*(8)+(COUNTIF(B38:H38,"9-17"))*(7.25)+(COUNTIF(B38:H38,"9-16"))*(6.25)+(COUNTIF(B38:H38,"9-15"))*(5.5)+(COUNTIF(B38:H38,"9-14"))*(4.5)+(COUNTIF(B38:H38,"9-13,17-20"))*(7)+(COUNTIF(B38:H38,"9-13"))*(4)+(COUNTIF(B38:H38,"9-12,18-20"))*(5)+(COUNTIF(B38:H38,"9-12,16-20"))*(7)+(COUNTIF(B38:H38,"9-12,16-19"))*(6)+(COUNTIF(B38:H38,"9-13,16-20"))*(6)+(COUNTIF(B38:H38,"9-12"))*(3)+(COUNTIF(B38:H38,"9-11:30"))*(2.5)+(COUNTIF(B38:H38,"9-11,16-19"))*(5)+(COUNTIF(B38:H38,"9-11"))*(2)+(COUNTIF(B38:H38,"9:30-11:30,16-19"))*(5)+(COUNTIF(B38:H38,"19-20"))*(1)+(COUNTIF(B38:H38,"17-20"))*(3)+(COUNTIF(B38:H38,"16-20"))*(4)+(COUNTIF(B38:H38,"15-20"))*(4.5)+(COUNTIF(B38:H38,"15-19"))*(4)+(COUNTIF(B38:H38,"14-20"))*(5.5)+(COUNTIF(B38:H38,"14-19"))*(4.5)+(COUNTIF(B38:H38,"14:30-20"))*(5)+(COUNTIF(B38:H38,"13-20"))*(6.25)+(COUNTIF(B38:H38,"13-19"))*(5.5)+(COUNTIF(B38:H38,"13-18"))*(4.5)+(COUNTIF(B38:H38,"13-17"))*(4)+(COUNTIF(B38:H38,"12-20"))*(7.25)+(COUNTIF(B38:H38,"10-20"))*(9)+(COUNTIF(B38:H38,"10-15"))*(4.5)+(COUNTIF(B38:H38,"12-18"))*(5.5)+(COUNTIF(B38:H38,"10-12,14-19"))*(6.5)+(COUNTIF(B38:H38,"10-14"))*(4)+(COUNTIF(B38:H38,"16-19"))*(3)</f>
        <v>4.5</v>
      </c>
      <c r="K38" s="250"/>
    </row>
    <row r="39" spans="1:14" ht="18" customHeight="1" x14ac:dyDescent="0.2">
      <c r="A39" s="5" t="s">
        <v>38</v>
      </c>
      <c r="B39" s="11"/>
      <c r="C39" s="20"/>
      <c r="D39" s="28"/>
      <c r="E39" s="28"/>
      <c r="F39" s="28"/>
      <c r="G39" s="28"/>
      <c r="H39" s="28"/>
      <c r="I39" s="5">
        <f>COUNTIFS(B39:H39,"&lt;&gt;空",B39:H39,"&lt;&gt;休",B39:H39,"&lt;&gt;調",B39:H39,"&lt;&gt;",B39:H39,"&lt;&gt;調整休")</f>
        <v>0</v>
      </c>
      <c r="J39" s="249">
        <f>SUM(COUNTIF(B39:H39,"9-14:30"))*(5)+(COUNTIF(B39:H39,"9-20"))*(10)+(COUNTIF(B39:H39,"9-19"))*(9)+(COUNTIF(B39:H39,"9-18"))*(8)+(COUNTIF(B39:H39,"9-17"))*(7.25)+(COUNTIF(B39:H39,"9-16"))*(6.25)+(COUNTIF(B39:H39,"9-15"))*(5.5)+(COUNTIF(B39:H39,"9-14"))*(4.5)+(COUNTIF(B39:H39,"9-13,17-20"))*(7)+(COUNTIF(B39:H39,"9-13"))*(4)+(COUNTIF(B39:H39,"9-12,18-20"))*(5)+(COUNTIF(B39:H39,"9-12,16-20"))*(7)+(COUNTIF(B39:H39,"9-12,16-19"))*(6)+(COUNTIF(B39:H39,"9-13,16-20"))*(6)+(COUNTIF(B39:H39,"9-12"))*(3)+(COUNTIF(B39:H39,"9-11:30"))*(2.5)+(COUNTIF(B39:H39,"9-11,16-19"))*(5)+(COUNTIF(B39:H39,"9-11"))*(2)+(COUNTIF(B39:H39,"9:30-11:30,16-19"))*(5)+(COUNTIF(B39:H39,"19-20"))*(1)+(COUNTIF(B39:H39,"17-20"))*(3)+(COUNTIF(B39:H39,"16-20"))*(4)+(COUNTIF(B39:H39,"15-20"))*(4.5)+(COUNTIF(B39:H39,"15-19"))*(4)+(COUNTIF(B39:H39,"14-20"))*(5.5)+(COUNTIF(B39:H39,"14-19"))*(4.5)+(COUNTIF(B39:H39,"14:30-20"))*(5)+(COUNTIF(B39:H39,"13-20"))*(6.25)+(COUNTIF(B39:H39,"13-19"))*(5.5)+(COUNTIF(B39:H39,"13-18"))*(4.5)+(COUNTIF(B39:H39,"13-17"))*(4)+(COUNTIF(B39:H39,"12-20"))*(7.25)+(COUNTIF(B39:H39,"10-20"))*(9)+(COUNTIF(B39:H39,"10-15"))*(4.5)+(COUNTIF(B39:H39,"12-18"))*(5.5)+(COUNTIF(B39:H39,"10-12,14-19"))*(6.5)+(COUNTIF(B39:H39,"10-14"))*(4)+(COUNTIF(B39:H39,"16-19"))*(3)</f>
        <v>0</v>
      </c>
      <c r="K39" s="250"/>
    </row>
    <row r="40" spans="1:14" ht="18" customHeight="1" x14ac:dyDescent="0.2">
      <c r="A40" s="5" t="s">
        <v>39</v>
      </c>
      <c r="B40" s="47" t="s">
        <v>18</v>
      </c>
      <c r="C40" s="20"/>
      <c r="D40" s="28"/>
      <c r="E40" s="28"/>
      <c r="F40" s="28"/>
      <c r="G40" s="28"/>
      <c r="H40" s="28"/>
      <c r="I40" s="5">
        <f>COUNTIFS(B40:H40,"&lt;&gt;空",B40:H40,"&lt;&gt;休",B40:H40,"&lt;&gt;調",B40:H40,"&lt;&gt;",B40:H40,"&lt;&gt;調整休")</f>
        <v>1</v>
      </c>
      <c r="J40" s="249">
        <f>SUM(COUNTIF(B40:H40,"9-14:30"))*(5)+(COUNTIF(B40:H40,"9-20"))*(10)+(COUNTIF(B40:H40,"9-19"))*(9)+(COUNTIF(B40:H40,"9-18"))*(8)+(COUNTIF(B40:H40,"9-17"))*(7.25)+(COUNTIF(B40:H40,"9-16"))*(6.25)+(COUNTIF(B40:H40,"9-15"))*(5.5)+(COUNTIF(B40:H40,"9-14"))*(4.5)+(COUNTIF(B40:H40,"9-13,17-20"))*(7)+(COUNTIF(B40:H40,"9-13"))*(4)+(COUNTIF(B40:H40,"9-12,18-20"))*(5)+(COUNTIF(B40:H40,"9-12,16-20"))*(7)+(COUNTIF(B40:H40,"9-12,16-19"))*(6)+(COUNTIF(B40:H40,"9-13,16-20"))*(6)+(COUNTIF(B40:H40,"9-12"))*(3)+(COUNTIF(B40:H40,"9-11:30"))*(2.5)+(COUNTIF(B40:H40,"9-11,16-19"))*(5)+(COUNTIF(B40:H40,"9-11"))*(2)+(COUNTIF(B40:H40,"9:30-11:30,16-19"))*(5)+(COUNTIF(B40:H40,"19-20"))*(1)+(COUNTIF(B40:H40,"17-20"))*(3)+(COUNTIF(B40:H40,"16-20"))*(4)+(COUNTIF(B40:H40,"15-20"))*(4.5)+(COUNTIF(B40:H40,"15-19"))*(4)+(COUNTIF(B40:H40,"14-20"))*(5.5)+(COUNTIF(B40:H40,"14-19"))*(4.5)+(COUNTIF(B40:H40,"14:30-20"))*(5)+(COUNTIF(B40:H40,"13-20"))*(6.25)+(COUNTIF(B40:H40,"13-19"))*(5.5)+(COUNTIF(B40:H40,"13-18"))*(4.5)+(COUNTIF(B40:H40,"13-17"))*(4)+(COUNTIF(B40:H40,"12-20"))*(7.25)+(COUNTIF(B40:H40,"10-20"))*(9)+(COUNTIF(B40:H40,"10-15"))*(4.5)+(COUNTIF(B40:H40,"12-18"))*(5.5)+(COUNTIF(B40:H40,"10-12,14-19"))*(6.5)+(COUNTIF(B40:H40,"10-14"))*(4)+(COUNTIF(B40:H40,"16-19"))*(3)</f>
        <v>4.5</v>
      </c>
      <c r="K40" s="250"/>
    </row>
    <row r="41" spans="1:14" ht="18" customHeight="1" x14ac:dyDescent="0.2">
      <c r="A41" s="5" t="s">
        <v>40</v>
      </c>
      <c r="B41" s="11" t="s">
        <v>33</v>
      </c>
      <c r="C41" s="74"/>
      <c r="D41" s="74"/>
      <c r="E41" s="74"/>
      <c r="F41" s="74"/>
      <c r="G41" s="74"/>
      <c r="H41" s="74"/>
      <c r="I41" s="5">
        <f>COUNTIFS(B41:H41,"&lt;&gt;空",B41:H41,"&lt;&gt;休",B41:H41,"&lt;&gt;調",B41:H41,"&lt;&gt;",B41:H41,"&lt;&gt;調整休")</f>
        <v>1</v>
      </c>
      <c r="J41" s="249">
        <f>SUM(COUNTIF(B41:H41,"9-14:30"))*(5)+(COUNTIF(B41:H41,"9-20"))*(10)+(COUNTIF(B41:H41,"9-19"))*(9)+(COUNTIF(B41:H41,"9-18"))*(8)+(COUNTIF(B41:H41,"9-17"))*(7.25)+(COUNTIF(B41:H41,"9-16"))*(6.25)+(COUNTIF(B41:H41,"9-15"))*(5.5)+(COUNTIF(B41:H41,"9-14"))*(4.5)+(COUNTIF(B41:H41,"9-13,17-20"))*(7)+(COUNTIF(B41:H41,"9-13"))*(4)+(COUNTIF(B41:H41,"9-12,18-20"))*(5)+(COUNTIF(B41:H41,"9-12,16-20"))*(7)+(COUNTIF(B41:H41,"9-12,16-19"))*(6)+(COUNTIF(B41:H41,"9-13,16-20"))*(6)+(COUNTIF(B41:H41,"9-12"))*(3)+(COUNTIF(B41:H41,"9-11:30"))*(2.5)+(COUNTIF(B41:H41,"9-11,16-19"))*(5)+(COUNTIF(B41:H41,"9-11"))*(2)+(COUNTIF(B41:H41,"9:30-11:30,16-19"))*(5)+(COUNTIF(B41:H41,"19-20"))*(1)+(COUNTIF(B41:H41,"17-20"))*(3)+(COUNTIF(B41:H41,"16-20"))*(4)+(COUNTIF(B41:H41,"15-20"))*(4.5)+(COUNTIF(B41:H41,"15-19"))*(4)+(COUNTIF(B41:H41,"14-20"))*(5.5)+(COUNTIF(B41:H41,"14-19"))*(4.5)+(COUNTIF(B41:H41,"14:30-20"))*(5)+(COUNTIF(B41:H41,"13-20"))*(6.25)+(COUNTIF(B41:H41,"13-19"))*(5.5)+(COUNTIF(B41:H41,"13-18"))*(4.5)+(COUNTIF(B41:H41,"13-17"))*(4)+(COUNTIF(B41:H41,"12-20"))*(7.25)+(COUNTIF(B41:H41,"10-20"))*(9)+(COUNTIF(B41:H41,"10-15"))*(4.5)+(COUNTIF(B41:H41,"12-18"))*(5.5)+(COUNTIF(B41:H41,"10-12,14-19"))*(6.5)+(COUNTIF(B41:H41,"10-14"))*(4)+(COUNTIF(B41:H41,"16-19"))*(3)</f>
        <v>6</v>
      </c>
      <c r="K41" s="250"/>
    </row>
    <row r="42" spans="1:14" ht="18" customHeight="1" x14ac:dyDescent="0.2">
      <c r="A42" s="175"/>
      <c r="B42" s="219"/>
      <c r="C42" s="32"/>
      <c r="D42" s="33"/>
      <c r="E42" s="33"/>
      <c r="F42" s="33"/>
      <c r="G42" s="33"/>
      <c r="H42" s="33"/>
      <c r="I42" s="5">
        <f>COUNTIFS(B42:H42,"&lt;&gt;空",B42:H42,"&lt;&gt;休",B42:H42,"&lt;&gt;調",B42:H42,"&lt;&gt;",B42:H42,"&lt;&gt;調整休")</f>
        <v>0</v>
      </c>
      <c r="J42" s="249">
        <f>SUM(COUNTIF(B42:H42,"9-14:30"))*(5)+(COUNTIF(B42:H42,"9-20"))*(10)+(COUNTIF(B42:H42,"9-19"))*(9)+(COUNTIF(B42:H42,"9-18"))*(8)+(COUNTIF(B42:H42,"9-17"))*(7.25)+(COUNTIF(B42:H42,"9-16"))*(6.25)+(COUNTIF(B42:H42,"9-15"))*(5.5)+(COUNTIF(B42:H42,"9-14"))*(4.5)+(COUNTIF(B42:H42,"9-13,17-20"))*(7)+(COUNTIF(B42:H42,"9-13"))*(4)+(COUNTIF(B42:H42,"9-12,18-20"))*(5)+(COUNTIF(B42:H42,"9-12,16-20"))*(7)+(COUNTIF(B42:H42,"9-12,16-19"))*(6)+(COUNTIF(B42:H42,"9-13,16-20"))*(6)+(COUNTIF(B42:H42,"9-12"))*(3)+(COUNTIF(B42:H42,"9-11:30"))*(2.5)+(COUNTIF(B42:H42,"9-11,16-19"))*(5)+(COUNTIF(B42:H42,"9-11"))*(2)+(COUNTIF(B42:H42,"9:30-11:30,16-19"))*(5)+(COUNTIF(B42:H42,"19-20"))*(1)+(COUNTIF(B42:H42,"17-20"))*(3)+(COUNTIF(B42:H42,"16-20"))*(4)+(COUNTIF(B42:H42,"15-20"))*(4.5)+(COUNTIF(B42:H42,"15-19"))*(4)+(COUNTIF(B42:H42,"14-20"))*(5.5)+(COUNTIF(B42:H42,"14-19"))*(4.5)+(COUNTIF(B42:H42,"14:30-20"))*(5)+(COUNTIF(B42:H42,"13-20"))*(6.25)+(COUNTIF(B42:H42,"13-19"))*(5.5)+(COUNTIF(B42:H42,"13-18"))*(4.5)+(COUNTIF(B42:H42,"13-17"))*(4)+(COUNTIF(B42:H42,"12-20"))*(7.25)+(COUNTIF(B42:H42,"10-20"))*(9)+(COUNTIF(B42:H42,"10-15"))*(4.5)+(COUNTIF(B42:H42,"12-18"))*(5.5)+(COUNTIF(B42:H42,"10-12,14-19"))*(6.5)+(COUNTIF(B42:H42,"10-14"))*(4)+(COUNTIF(B42:H42,"16-19"))*(3)</f>
        <v>0</v>
      </c>
      <c r="K42" s="250"/>
    </row>
    <row r="43" spans="1:14" ht="18" customHeight="1" x14ac:dyDescent="0.2">
      <c r="A43" s="35"/>
      <c r="B43" s="36"/>
      <c r="C43" s="36"/>
      <c r="D43" s="36"/>
      <c r="E43" s="36"/>
      <c r="F43" s="36"/>
      <c r="G43" s="36"/>
      <c r="H43" s="36"/>
      <c r="I43" s="269" t="s">
        <v>189</v>
      </c>
      <c r="J43" s="269"/>
      <c r="K43" s="269"/>
    </row>
    <row r="44" spans="1:14" ht="14.4" customHeight="1" x14ac:dyDescent="0.2">
      <c r="A44" s="270" t="s">
        <v>29</v>
      </c>
      <c r="B44" s="271"/>
      <c r="C44" s="12"/>
      <c r="D44" s="272" t="s">
        <v>26</v>
      </c>
      <c r="E44" s="272"/>
      <c r="H44" s="9"/>
      <c r="I44" s="9"/>
      <c r="M44" s="13"/>
      <c r="N44" s="14"/>
    </row>
    <row r="45" spans="1:14" ht="14.4" customHeight="1" x14ac:dyDescent="0.2">
      <c r="A45" s="265" t="s">
        <v>63</v>
      </c>
      <c r="B45" s="266"/>
      <c r="C45" s="267" t="s">
        <v>67</v>
      </c>
      <c r="D45" s="268"/>
      <c r="E45" s="268"/>
      <c r="F45" s="268"/>
      <c r="G45" s="268"/>
      <c r="H45" s="268"/>
      <c r="I45" s="268"/>
      <c r="J45" s="268"/>
      <c r="K45" s="268"/>
      <c r="M45" s="13"/>
      <c r="N45" s="14"/>
    </row>
    <row r="46" spans="1:14" ht="14.4" customHeight="1" x14ac:dyDescent="0.2">
      <c r="A46" s="265" t="s">
        <v>64</v>
      </c>
      <c r="B46" s="266"/>
      <c r="C46" s="267" t="s">
        <v>68</v>
      </c>
      <c r="D46" s="268"/>
      <c r="E46" s="268"/>
      <c r="F46" s="268"/>
      <c r="G46" s="268"/>
      <c r="H46" s="268"/>
      <c r="I46" s="268"/>
      <c r="J46" s="268"/>
      <c r="K46" s="268"/>
    </row>
    <row r="47" spans="1:14" ht="14.4" customHeight="1" x14ac:dyDescent="0.2">
      <c r="A47" s="64" t="s">
        <v>65</v>
      </c>
      <c r="B47" s="65"/>
      <c r="C47" s="282" t="s">
        <v>25</v>
      </c>
      <c r="D47" s="273"/>
      <c r="E47" s="273"/>
      <c r="F47" s="273"/>
      <c r="G47" s="273"/>
      <c r="H47" s="273"/>
      <c r="I47" s="273"/>
      <c r="J47" s="273"/>
      <c r="K47" s="273"/>
    </row>
    <row r="48" spans="1:14" ht="14.4" customHeight="1" x14ac:dyDescent="0.2">
      <c r="A48" s="64" t="s">
        <v>66</v>
      </c>
      <c r="B48" s="65"/>
      <c r="C48" s="66" t="s">
        <v>27</v>
      </c>
      <c r="D48" s="67"/>
      <c r="E48" s="67"/>
      <c r="F48" s="67"/>
      <c r="G48" s="67"/>
      <c r="H48" s="67"/>
      <c r="I48" s="67"/>
      <c r="J48" s="67"/>
      <c r="K48" s="67"/>
    </row>
    <row r="49" spans="1:11" ht="14.4" customHeight="1" x14ac:dyDescent="0.2">
      <c r="A49" s="283"/>
      <c r="B49" s="284"/>
      <c r="C49" s="282" t="s">
        <v>69</v>
      </c>
      <c r="D49" s="273"/>
      <c r="E49" s="273"/>
      <c r="F49" s="273"/>
      <c r="G49" s="273"/>
      <c r="H49" s="273"/>
      <c r="I49" s="273"/>
      <c r="J49" s="273"/>
      <c r="K49" s="273"/>
    </row>
    <row r="50" spans="1:11" ht="14.4" customHeight="1" x14ac:dyDescent="0.2">
      <c r="A50" s="285" t="s">
        <v>169</v>
      </c>
      <c r="B50" s="286"/>
      <c r="C50" s="67" t="s">
        <v>28</v>
      </c>
      <c r="D50" s="67"/>
      <c r="E50" s="67"/>
      <c r="F50" s="67"/>
      <c r="G50" s="67"/>
      <c r="H50" s="67"/>
      <c r="I50" s="67"/>
      <c r="J50" s="67"/>
      <c r="K50" s="67"/>
    </row>
    <row r="51" spans="1:11" ht="14.4" customHeight="1" x14ac:dyDescent="0.2">
      <c r="A51" s="274" t="s">
        <v>172</v>
      </c>
      <c r="B51" s="275"/>
      <c r="C51" s="273" t="s">
        <v>70</v>
      </c>
      <c r="D51" s="273"/>
      <c r="E51" s="273"/>
      <c r="F51" s="273"/>
      <c r="G51" s="273"/>
      <c r="H51" s="273"/>
      <c r="I51" s="273"/>
      <c r="J51" s="273"/>
      <c r="K51" s="273"/>
    </row>
    <row r="52" spans="1:11" ht="14.4" customHeight="1" x14ac:dyDescent="0.2">
      <c r="A52" s="276"/>
      <c r="B52" s="277"/>
      <c r="C52" s="280" t="s">
        <v>170</v>
      </c>
      <c r="D52" s="281"/>
      <c r="E52" s="281"/>
      <c r="F52" s="281"/>
      <c r="G52" s="281"/>
      <c r="H52" s="281"/>
      <c r="I52" s="281"/>
      <c r="J52" s="243"/>
      <c r="K52" s="243"/>
    </row>
    <row r="53" spans="1:11" ht="18" customHeight="1" x14ac:dyDescent="0.2">
      <c r="A53" s="278"/>
      <c r="B53" s="279"/>
      <c r="C53" s="280"/>
      <c r="D53" s="281"/>
      <c r="E53" s="281"/>
      <c r="F53" s="281"/>
      <c r="G53" s="281"/>
      <c r="H53" s="281"/>
      <c r="I53" s="281"/>
    </row>
  </sheetData>
  <mergeCells count="52">
    <mergeCell ref="D44:E44"/>
    <mergeCell ref="C51:K51"/>
    <mergeCell ref="A51:B53"/>
    <mergeCell ref="C52:I53"/>
    <mergeCell ref="A46:B46"/>
    <mergeCell ref="C46:K46"/>
    <mergeCell ref="C47:K47"/>
    <mergeCell ref="A49:B49"/>
    <mergeCell ref="C49:K49"/>
    <mergeCell ref="A50:B50"/>
    <mergeCell ref="F29:H29"/>
    <mergeCell ref="J29:K29"/>
    <mergeCell ref="J30:K30"/>
    <mergeCell ref="J31:K31"/>
    <mergeCell ref="A45:B45"/>
    <mergeCell ref="C45:K45"/>
    <mergeCell ref="J33:K33"/>
    <mergeCell ref="J34:K34"/>
    <mergeCell ref="J35:K36"/>
    <mergeCell ref="J38:K38"/>
    <mergeCell ref="J39:K39"/>
    <mergeCell ref="J40:K40"/>
    <mergeCell ref="J41:K41"/>
    <mergeCell ref="J42:K42"/>
    <mergeCell ref="I43:K43"/>
    <mergeCell ref="A44:B44"/>
    <mergeCell ref="J32:K32"/>
    <mergeCell ref="J21:K21"/>
    <mergeCell ref="J22:K22"/>
    <mergeCell ref="J23:K23"/>
    <mergeCell ref="J24:K24"/>
    <mergeCell ref="J25:K25"/>
    <mergeCell ref="J26:K26"/>
    <mergeCell ref="J27:K28"/>
    <mergeCell ref="J19:K20"/>
    <mergeCell ref="J7:K7"/>
    <mergeCell ref="J8:K8"/>
    <mergeCell ref="J9:K9"/>
    <mergeCell ref="J10:K10"/>
    <mergeCell ref="J11:K12"/>
    <mergeCell ref="J13:K13"/>
    <mergeCell ref="J14:K14"/>
    <mergeCell ref="J15:K15"/>
    <mergeCell ref="J16:K16"/>
    <mergeCell ref="J17:K17"/>
    <mergeCell ref="J18:K18"/>
    <mergeCell ref="J6:K6"/>
    <mergeCell ref="B1:F1"/>
    <mergeCell ref="H1:K1"/>
    <mergeCell ref="I3:I4"/>
    <mergeCell ref="J3:K4"/>
    <mergeCell ref="J5:K5"/>
  </mergeCells>
  <phoneticPr fontId="13"/>
  <pageMargins left="0.59055118110236227" right="0.27559055118110237" top="0.31496062992125984" bottom="0.11811023622047245" header="0.51181102362204722" footer="0.51181102362204722"/>
  <pageSetup paperSize="9" scale="93"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2F009958-C28C-49E2-8549-F3CB764799D9}">
          <x14:formula1>
            <xm:f>'F:\Users\clmiwa-three\Downloads\[《中村》新田・草加 エリア 仮シフト【12月16日～1月15日】.xlsx]参照データベース'!#REF!</xm:f>
          </x14:formula1>
          <xm:sqref>C26:D26 C18:D18 C34:D34 G1:G2 C10:D10 C42:H43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B08BE0-D0F6-4E88-95C2-55D12BE544E0}">
  <sheetPr>
    <tabColor theme="7" tint="0.59999389629810485"/>
    <pageSetUpPr fitToPage="1"/>
  </sheetPr>
  <dimension ref="A1:N62"/>
  <sheetViews>
    <sheetView zoomScale="90" zoomScaleNormal="90" workbookViewId="0"/>
  </sheetViews>
  <sheetFormatPr defaultColWidth="9" defaultRowHeight="20.100000000000001" customHeight="1" x14ac:dyDescent="0.2"/>
  <cols>
    <col min="1" max="1" width="11.88671875" style="1" customWidth="1"/>
    <col min="2" max="8" width="10.21875" style="13" customWidth="1"/>
    <col min="9" max="9" width="7.6640625" style="1" customWidth="1"/>
    <col min="10" max="10" width="9" style="1"/>
    <col min="11" max="11" width="3.109375" style="1" customWidth="1"/>
    <col min="12" max="16384" width="9" style="1"/>
  </cols>
  <sheetData>
    <row r="1" spans="1:12" ht="20.100000000000001" customHeight="1" thickBot="1" x14ac:dyDescent="0.25">
      <c r="A1" s="53" t="s">
        <v>56</v>
      </c>
      <c r="B1" s="251" t="s">
        <v>167</v>
      </c>
      <c r="C1" s="251"/>
      <c r="D1" s="251"/>
      <c r="E1" s="251"/>
      <c r="F1" s="251"/>
      <c r="H1" s="287" t="s">
        <v>78</v>
      </c>
      <c r="I1" s="288"/>
      <c r="J1" s="289"/>
      <c r="K1" s="290"/>
    </row>
    <row r="2" spans="1:12" ht="10.5" customHeight="1" x14ac:dyDescent="0.2">
      <c r="A2" s="44"/>
      <c r="B2" s="218"/>
      <c r="C2" s="218"/>
      <c r="D2" s="218"/>
      <c r="E2" s="218"/>
      <c r="F2" s="218"/>
      <c r="H2" s="222"/>
      <c r="I2" s="222"/>
      <c r="J2" s="223"/>
      <c r="K2" s="222"/>
      <c r="L2" s="4"/>
    </row>
    <row r="3" spans="1:12" ht="15" customHeight="1" x14ac:dyDescent="0.2">
      <c r="A3" s="21" t="s">
        <v>0</v>
      </c>
      <c r="B3" s="22">
        <v>46174</v>
      </c>
      <c r="C3" s="22">
        <v>46175</v>
      </c>
      <c r="D3" s="22">
        <v>46176</v>
      </c>
      <c r="E3" s="22">
        <v>46177</v>
      </c>
      <c r="F3" s="22">
        <v>46178</v>
      </c>
      <c r="G3" s="22">
        <v>46179</v>
      </c>
      <c r="H3" s="22">
        <v>46180</v>
      </c>
      <c r="I3" s="256" t="s">
        <v>1</v>
      </c>
      <c r="J3" s="258" t="s">
        <v>2</v>
      </c>
      <c r="K3" s="259"/>
    </row>
    <row r="4" spans="1:12" ht="15" customHeight="1" x14ac:dyDescent="0.2">
      <c r="A4" s="21" t="s">
        <v>3</v>
      </c>
      <c r="B4" s="2" t="s">
        <v>4</v>
      </c>
      <c r="C4" s="20" t="s">
        <v>5</v>
      </c>
      <c r="D4" s="20" t="s">
        <v>6</v>
      </c>
      <c r="E4" s="2" t="s">
        <v>7</v>
      </c>
      <c r="F4" s="2" t="s">
        <v>8</v>
      </c>
      <c r="G4" s="2" t="s">
        <v>9</v>
      </c>
      <c r="H4" s="23" t="s">
        <v>10</v>
      </c>
      <c r="I4" s="257"/>
      <c r="J4" s="260"/>
      <c r="K4" s="261"/>
    </row>
    <row r="5" spans="1:12" ht="15" customHeight="1" x14ac:dyDescent="0.2">
      <c r="A5" s="16" t="s">
        <v>11</v>
      </c>
      <c r="B5" s="11"/>
      <c r="C5" s="2"/>
      <c r="D5" s="2"/>
      <c r="E5" s="11"/>
      <c r="F5" s="11"/>
      <c r="G5" s="11"/>
      <c r="H5" s="11"/>
      <c r="I5" s="5"/>
      <c r="J5" s="249"/>
      <c r="K5" s="250"/>
    </row>
    <row r="6" spans="1:12" ht="15" customHeight="1" x14ac:dyDescent="0.2">
      <c r="A6" s="18" t="s">
        <v>79</v>
      </c>
      <c r="B6" s="52"/>
      <c r="C6" s="24"/>
      <c r="D6" s="28"/>
      <c r="E6" s="52"/>
      <c r="F6" s="165" t="s">
        <v>149</v>
      </c>
      <c r="G6" s="47" t="s">
        <v>54</v>
      </c>
      <c r="H6" s="47"/>
      <c r="I6" s="5">
        <f>COUNTIFS(B6:H6,"&lt;&gt;空",B6:H6,"&lt;&gt;休",B6:H6,"&lt;&gt;調",B6:H6,"&lt;&gt;",B6:H6,"&lt;&gt;調整休")</f>
        <v>2</v>
      </c>
      <c r="J6" s="249">
        <f>SUM(COUNTIF(B6:H6,"9-14:30"))*(5)+(COUNTIF(B6:H6,"9-20"))*(10)+(COUNTIF(B6:H6,"9-19"))*(9)+(COUNTIF(B6:H6,"9-18"))*(8)+(COUNTIF(B6:H6,"9-17"))*(7.25)+(COUNTIF(B6:H6,"9-16"))*(6.25)+(COUNTIF(B6:H6,"9-15"))*(5.5)+(COUNTIF(B6:H6,"9-14"))*(4.5)+(COUNTIF(B6:H6,"9-13,17-20"))*(7)+(COUNTIF(B6:H6,"9-13"))*(4)+(COUNTIF(B6:H6,"9-12,18-20"))*(5)+(COUNTIF(B6:H6,"9-12,16-20"))*(7)+(COUNTIF(B6:H6,"9-12,16-19"))*(6)+(COUNTIF(B6:H6,"9-13,16-20"))*(6)+(COUNTIF(B6:H6,"9-12"))*(3)+(COUNTIF(B6:H6,"9-11:30"))*(2.5)+(COUNTIF(B6:H6,"9-11,16-19"))*(5)+(COUNTIF(B6:H6,"9-11"))*(2)+(COUNTIF(B6:H6,"9:30-11:30,16-19"))*(5)+(COUNTIF(B6:H6,"19-20"))*(1)+(COUNTIF(B6:H6,"17-20"))*(3)+(COUNTIF(B6:H6,"16-20"))*(4)+(COUNTIF(B6:H6,"15-20"))*(4.5)+(COUNTIF(B6:H6,"15-19"))*(4)+(COUNTIF(B6:H6,"14-20"))*(5.5)+(COUNTIF(B6:H6,"14-19"))*(4.5)+(COUNTIF(B6:H6,"14:30-20"))*(5)+(COUNTIF(B6:H6,"13-20"))*(6.25)+(COUNTIF(B6:H6,"13-19"))*(5.5)+(COUNTIF(B6:H6,"13-18"))*(4.5)+(COUNTIF(B6:H6,"13-17"))*(4)+(COUNTIF(B6:H6,"12-20"))*(7.25)+(COUNTIF(B6:H6,"10-20"))*(9)+(COUNTIF(B6:H6,"10-15"))*(4.5)+(COUNTIF(B6:H6,"12-18"))*(5.5)+(COUNTIF(B6:H6,"10-12,14-19"))*(6.5)+(COUNTIF(B6:H6,"10-14"))*(4)+(COUNTIF(B6:H6,"13:30-19"))*(5)+(COUNTIF(B6:H6,"14-17"))*(4)+(COUNTIF(B6:H6,"16-19"))*(4)+(COUNTIF(B6:H6,"13-16"))*(3)+(COUNTIF(B6:H6,"工場9:30-15"))*(5)+(COUNTIF(B6:H6,"工場9-15"))*(5.5)+(COUNTIF(B6:H6,"受9-/Y10-"))*(5.5)+(COUNTIF(B6:H6,"Y10-"))*(4.5)+(COUNTIF(B6:H6,"ﾏ安9-14"))*(4.5)</f>
        <v>12.75</v>
      </c>
      <c r="K6" s="250"/>
    </row>
    <row r="7" spans="1:12" ht="15" customHeight="1" x14ac:dyDescent="0.2">
      <c r="A7" s="19" t="s">
        <v>80</v>
      </c>
      <c r="B7" s="202" t="s">
        <v>136</v>
      </c>
      <c r="C7" s="2"/>
      <c r="D7" s="28"/>
      <c r="E7" s="11" t="s">
        <v>54</v>
      </c>
      <c r="F7" s="11" t="s">
        <v>18</v>
      </c>
      <c r="G7" s="47"/>
      <c r="H7" s="11"/>
      <c r="I7" s="5">
        <f>COUNTIFS(B7:H7,"&lt;&gt;空",B7:H7,"&lt;&gt;休",B7:H7,"&lt;&gt;調",B7:H7,"&lt;&gt;",B7:H7,"&lt;&gt;調整休")</f>
        <v>3</v>
      </c>
      <c r="J7" s="249">
        <f>SUM(COUNTIF(B7:H7,"9-14:30"))*(5)+(COUNTIF(B7:H7,"9-20"))*(10)+(COUNTIF(B7:H7,"9-19"))*(9)+(COUNTIF(B7:H7,"9-18"))*(8)+(COUNTIF(B7:H7,"9-17"))*(7.25)+(COUNTIF(B7:H7,"9-16"))*(6.25)+(COUNTIF(B7:H7,"9-15"))*(5.5)+(COUNTIF(B7:H7,"9-14"))*(4.5)+(COUNTIF(B7:H7,"9-13,17-20"))*(7)+(COUNTIF(B7:H7,"9-13"))*(4)+(COUNTIF(B7:H7,"9-12,18-20"))*(5)+(COUNTIF(B7:H7,"9-12,16-20"))*(7)+(COUNTIF(B7:H7,"9-12,16-19"))*(6)+(COUNTIF(B7:H7,"9-13,16-20"))*(6)+(COUNTIF(B7:H7,"9-12"))*(3)+(COUNTIF(B7:H7,"9-11:30"))*(2.5)+(COUNTIF(B7:H7,"9-11,16-19"))*(5)+(COUNTIF(B7:H7,"9-11"))*(2)+(COUNTIF(B7:H7,"9:30-11:30,16-19"))*(5)+(COUNTIF(B7:H7,"19-20"))*(1)+(COUNTIF(B7:H7,"17-20"))*(3)+(COUNTIF(B7:H7,"16-20"))*(4)+(COUNTIF(B7:H7,"15-20"))*(4.5)+(COUNTIF(B7:H7,"15-19"))*(4)+(COUNTIF(B7:H7,"14-20"))*(5.5)+(COUNTIF(B7:H7,"14-19"))*(4.5)+(COUNTIF(B7:H7,"14:30-20"))*(5)+(COUNTIF(B7:H7,"13-20"))*(6.25)+(COUNTIF(B7:H7,"13-19"))*(5.5)+(COUNTIF(B7:H7,"13-18"))*(4.5)+(COUNTIF(B7:H7,"13-17"))*(4)+(COUNTIF(B7:H7,"12-20"))*(7.25)+(COUNTIF(B7:H7,"10-20"))*(9)+(COUNTIF(B7:H7,"10-15"))*(4.5)+(COUNTIF(B7:H7,"12-18"))*(5.5)+(COUNTIF(B7:H7,"10-12,14-19"))*(6.5)+(COUNTIF(B7:H7,"10-14"))*(4)+(COUNTIF(B7:H7,"13:30-19"))*(5)+(COUNTIF(B7:H7,"14-17"))*(4)+(COUNTIF(B7:H7,"16-19"))*(4)+(COUNTIF(B7:H7,"13-16"))*(3)+(COUNTIF(B7:H7,"工場9:30-15"))*(5)+(COUNTIF(B7:H7,"工場9-15"))*(5.5)+(COUNTIF(B7:H7,"受9-/Y10-"))*(5.5)+(COUNTIF(B7:H7,"Y10-"))*(4.5)+(COUNTIF(B7:H7,"ﾏ安9-14"))*(4.5)</f>
        <v>16.25</v>
      </c>
      <c r="K7" s="250"/>
    </row>
    <row r="8" spans="1:12" ht="15" customHeight="1" x14ac:dyDescent="0.2">
      <c r="A8" s="19" t="s">
        <v>81</v>
      </c>
      <c r="B8" s="11" t="s">
        <v>19</v>
      </c>
      <c r="C8" s="32"/>
      <c r="D8" s="32"/>
      <c r="E8" s="11"/>
      <c r="F8" s="34"/>
      <c r="G8" s="11" t="s">
        <v>19</v>
      </c>
      <c r="H8" s="11" t="s">
        <v>19</v>
      </c>
      <c r="I8" s="5">
        <f t="shared" ref="I8:I11" si="0">COUNTIFS(B8:H8,"&lt;&gt;空",B8:H8,"&lt;&gt;休",B8:H8,"&lt;&gt;調",B8:H8,"&lt;&gt;",B8:H8,"&lt;&gt;調整休")</f>
        <v>3</v>
      </c>
      <c r="J8" s="249">
        <f t="shared" ref="J8:J11" si="1">SUM(COUNTIF(B8:H8,"9-14:30"))*(5)+(COUNTIF(B8:H8,"9-20"))*(10)+(COUNTIF(B8:H8,"9-19"))*(9)+(COUNTIF(B8:H8,"9-18"))*(8)+(COUNTIF(B8:H8,"9-17"))*(7.25)+(COUNTIF(B8:H8,"9-16"))*(6.25)+(COUNTIF(B8:H8,"9-15"))*(5.5)+(COUNTIF(B8:H8,"9-14"))*(4.5)+(COUNTIF(B8:H8,"9-13,17-20"))*(7)+(COUNTIF(B8:H8,"9-13"))*(4)+(COUNTIF(B8:H8,"9-12,18-20"))*(5)+(COUNTIF(B8:H8,"9-12,16-20"))*(7)+(COUNTIF(B8:H8,"9-12,16-19"))*(6)+(COUNTIF(B8:H8,"9-13,16-20"))*(6)+(COUNTIF(B8:H8,"9-12"))*(3)+(COUNTIF(B8:H8,"9-11:30"))*(2.5)+(COUNTIF(B8:H8,"9-11,16-19"))*(5)+(COUNTIF(B8:H8,"9-11"))*(2)+(COUNTIF(B8:H8,"9:30-11:30,16-19"))*(5)+(COUNTIF(B8:H8,"19-20"))*(1)+(COUNTIF(B8:H8,"17-20"))*(3)+(COUNTIF(B8:H8,"16-20"))*(4)+(COUNTIF(B8:H8,"15-20"))*(4.5)+(COUNTIF(B8:H8,"15-19"))*(4)+(COUNTIF(B8:H8,"14-20"))*(5.5)+(COUNTIF(B8:H8,"14-19"))*(4.5)+(COUNTIF(B8:H8,"14:30-20"))*(5)+(COUNTIF(B8:H8,"13-20"))*(6.25)+(COUNTIF(B8:H8,"13-19"))*(5.5)+(COUNTIF(B8:H8,"13-18"))*(4.5)+(COUNTIF(B8:H8,"13-17"))*(4)+(COUNTIF(B8:H8,"12-20"))*(7.25)+(COUNTIF(B8:H8,"10-20"))*(9)+(COUNTIF(B8:H8,"10-15"))*(4.5)+(COUNTIF(B8:H8,"12-18"))*(5.5)+(COUNTIF(B8:H8,"10-12,14-19"))*(6.5)+(COUNTIF(B8:H8,"10-14"))*(4)+(COUNTIF(B8:H8,"13:30-19"))*(5)+(COUNTIF(B8:H8,"14-17"))*(4)+(COUNTIF(B8:H8,"16-19"))*(4)+(COUNTIF(B8:H8,"13-16"))*(3)+(COUNTIF(B8:H8,"工場9:30-15"))*(5)+(COUNTIF(B8:H8,"工場9-15"))*(5.5)+(COUNTIF(B8:H8,"受9-/Y10-"))*(5.5)+(COUNTIF(B8:H8,"Y10-"))*(4.5)+(COUNTIF(B8:H8,"ﾏ安9-14"))*(4.5)</f>
        <v>13.5</v>
      </c>
      <c r="K8" s="250"/>
    </row>
    <row r="9" spans="1:12" ht="15" customHeight="1" x14ac:dyDescent="0.2">
      <c r="A9" s="41" t="s">
        <v>84</v>
      </c>
      <c r="B9" s="11" t="s">
        <v>18</v>
      </c>
      <c r="C9" s="32"/>
      <c r="D9" s="32"/>
      <c r="E9" s="26"/>
      <c r="F9" s="11" t="s">
        <v>18</v>
      </c>
      <c r="G9" s="11"/>
      <c r="H9" s="11" t="s">
        <v>18</v>
      </c>
      <c r="I9" s="5">
        <f t="shared" si="0"/>
        <v>3</v>
      </c>
      <c r="J9" s="249">
        <f t="shared" si="1"/>
        <v>13.5</v>
      </c>
      <c r="K9" s="250"/>
    </row>
    <row r="10" spans="1:12" ht="15" customHeight="1" x14ac:dyDescent="0.2">
      <c r="A10" s="19" t="s">
        <v>129</v>
      </c>
      <c r="B10" s="11" t="s">
        <v>18</v>
      </c>
      <c r="C10" s="32"/>
      <c r="D10" s="32"/>
      <c r="E10" s="11"/>
      <c r="F10" s="26"/>
      <c r="G10" s="11" t="s">
        <v>18</v>
      </c>
      <c r="H10" s="11" t="s">
        <v>18</v>
      </c>
      <c r="I10" s="5">
        <f t="shared" si="0"/>
        <v>3</v>
      </c>
      <c r="J10" s="249">
        <f t="shared" si="1"/>
        <v>13.5</v>
      </c>
      <c r="K10" s="250"/>
    </row>
    <row r="11" spans="1:12" ht="15" customHeight="1" x14ac:dyDescent="0.2">
      <c r="A11" s="19" t="s">
        <v>145</v>
      </c>
      <c r="B11" s="81"/>
      <c r="C11" s="32"/>
      <c r="D11" s="32"/>
      <c r="E11" s="11"/>
      <c r="F11" s="11" t="s">
        <v>19</v>
      </c>
      <c r="G11" s="11" t="s">
        <v>19</v>
      </c>
      <c r="H11" s="11" t="s">
        <v>19</v>
      </c>
      <c r="I11" s="5">
        <f t="shared" si="0"/>
        <v>3</v>
      </c>
      <c r="J11" s="249">
        <f t="shared" si="1"/>
        <v>13.5</v>
      </c>
      <c r="K11" s="250"/>
    </row>
    <row r="12" spans="1:12" ht="15" customHeight="1" x14ac:dyDescent="0.2">
      <c r="A12" s="79" t="s">
        <v>53</v>
      </c>
      <c r="B12" s="81"/>
      <c r="C12" s="32"/>
      <c r="D12" s="32"/>
      <c r="E12" s="170" t="s">
        <v>112</v>
      </c>
      <c r="F12" s="170"/>
      <c r="G12" s="81"/>
      <c r="H12" s="81"/>
      <c r="I12" s="25"/>
      <c r="J12" s="42"/>
      <c r="K12" s="70"/>
    </row>
    <row r="13" spans="1:12" ht="15" customHeight="1" x14ac:dyDescent="0.2">
      <c r="A13" s="29" t="s">
        <v>0</v>
      </c>
      <c r="B13" s="46">
        <v>46181</v>
      </c>
      <c r="C13" s="46">
        <v>46182</v>
      </c>
      <c r="D13" s="46">
        <v>46183</v>
      </c>
      <c r="E13" s="46">
        <v>46184</v>
      </c>
      <c r="F13" s="46">
        <v>46185</v>
      </c>
      <c r="G13" s="46">
        <v>46186</v>
      </c>
      <c r="H13" s="46">
        <v>46187</v>
      </c>
      <c r="I13" s="7"/>
      <c r="J13" s="258" t="s">
        <v>2</v>
      </c>
      <c r="K13" s="259"/>
    </row>
    <row r="14" spans="1:12" ht="15" customHeight="1" x14ac:dyDescent="0.2">
      <c r="A14" s="21" t="s">
        <v>3</v>
      </c>
      <c r="B14" s="2" t="s">
        <v>4</v>
      </c>
      <c r="C14" s="20" t="s">
        <v>5</v>
      </c>
      <c r="D14" s="20" t="s">
        <v>6</v>
      </c>
      <c r="E14" s="2" t="s">
        <v>7</v>
      </c>
      <c r="F14" s="2" t="s">
        <v>8</v>
      </c>
      <c r="G14" s="2" t="s">
        <v>9</v>
      </c>
      <c r="H14" s="23" t="s">
        <v>10</v>
      </c>
      <c r="I14" s="8"/>
      <c r="J14" s="260"/>
      <c r="K14" s="261"/>
    </row>
    <row r="15" spans="1:12" ht="15" customHeight="1" x14ac:dyDescent="0.2">
      <c r="A15" s="16" t="s">
        <v>12</v>
      </c>
      <c r="B15" s="11"/>
      <c r="C15" s="2"/>
      <c r="D15" s="2"/>
      <c r="E15" s="11"/>
      <c r="F15" s="11"/>
      <c r="G15" s="11"/>
      <c r="H15" s="11"/>
      <c r="I15" s="5"/>
      <c r="J15" s="249"/>
      <c r="K15" s="250"/>
    </row>
    <row r="16" spans="1:12" ht="15" customHeight="1" x14ac:dyDescent="0.2">
      <c r="A16" s="18" t="s">
        <v>79</v>
      </c>
      <c r="B16" s="11" t="s">
        <v>18</v>
      </c>
      <c r="C16" s="24"/>
      <c r="D16" s="28"/>
      <c r="E16" s="47" t="s">
        <v>54</v>
      </c>
      <c r="F16" s="165" t="s">
        <v>149</v>
      </c>
      <c r="G16" s="52"/>
      <c r="H16" s="47"/>
      <c r="I16" s="5">
        <f>COUNTIFS(B16:H16,"&lt;&gt;空",B16:H16,"&lt;&gt;休",B16:H16,"&lt;&gt;調",B16:H16,"&lt;&gt;",B16:H16,"&lt;&gt;調整休")</f>
        <v>3</v>
      </c>
      <c r="J16" s="249">
        <f>SUM(COUNTIF(B16:H16,"9-14:30"))*(5)+(COUNTIF(B16:H16,"9-20"))*(10)+(COUNTIF(B16:H16,"9-19"))*(9)+(COUNTIF(B16:H16,"9-18"))*(8)+(COUNTIF(B16:H16,"9-17"))*(7.25)+(COUNTIF(B16:H16,"9-16"))*(6.25)+(COUNTIF(B16:H16,"9-15"))*(5.5)+(COUNTIF(B16:H16,"9-14"))*(4.5)+(COUNTIF(B16:H16,"9-13,17-20"))*(7)+(COUNTIF(B16:H16,"9-13"))*(4)+(COUNTIF(B16:H16,"9-12,18-20"))*(5)+(COUNTIF(B16:H16,"9-12,16-20"))*(7)+(COUNTIF(B16:H16,"9-12,16-19"))*(6)+(COUNTIF(B16:H16,"9-13,16-20"))*(6)+(COUNTIF(B16:H16,"9-12"))*(3)+(COUNTIF(B16:H16,"9-11:30"))*(2.5)+(COUNTIF(B16:H16,"9-11,16-19"))*(5)+(COUNTIF(B16:H16,"9-11"))*(2)+(COUNTIF(B16:H16,"9:30-11:30,16-19"))*(5)+(COUNTIF(B16:H16,"19-20"))*(1)+(COUNTIF(B16:H16,"17-20"))*(3)+(COUNTIF(B16:H16,"16-20"))*(4)+(COUNTIF(B16:H16,"15-20"))*(4.5)+(COUNTIF(B16:H16,"15-19"))*(4)+(COUNTIF(B16:H16,"14-20"))*(5.5)+(COUNTIF(B16:H16,"14-19"))*(4.5)+(COUNTIF(B16:H16,"14:30-20"))*(5)+(COUNTIF(B16:H16,"13-20"))*(6.25)+(COUNTIF(B16:H16,"13-19"))*(5.5)+(COUNTIF(B16:H16,"13-18"))*(4.5)+(COUNTIF(B16:H16,"13-17"))*(4)+(COUNTIF(B16:H16,"12-20"))*(7.25)+(COUNTIF(B16:H16,"10-20"))*(9)+(COUNTIF(B16:H16,"10-15"))*(4.5)+(COUNTIF(B16:H16,"12-18"))*(5.5)+(COUNTIF(B16:H16,"10-12,14-19"))*(6.5)+(COUNTIF(B16:H16,"10-14"))*(4)+(COUNTIF(B16:H16,"13:30-19"))*(5)+(COUNTIF(B16:H16,"14-17"))*(4)+(COUNTIF(B16:H16,"16-19"))*(4)+(COUNTIF(B16:H16,"13-16"))*(3)+(COUNTIF(B16:H16,"工場9:30-15"))*(5)+(COUNTIF(B16:H16,"工場9-15"))*(5.5)+(COUNTIF(B16:H16,"受9-/Y10-"))*(5.5)+(COUNTIF(B16:H16,"Y10-"))*(4.5)+(COUNTIF(B16:H16,"ﾏ安9-14"))*(4.5)</f>
        <v>17.25</v>
      </c>
      <c r="K16" s="250"/>
    </row>
    <row r="17" spans="1:11" ht="15" customHeight="1" x14ac:dyDescent="0.2">
      <c r="A17" s="19" t="s">
        <v>80</v>
      </c>
      <c r="B17" s="202" t="s">
        <v>136</v>
      </c>
      <c r="C17" s="2"/>
      <c r="D17" s="28"/>
      <c r="E17" s="202" t="s">
        <v>136</v>
      </c>
      <c r="F17" s="11" t="s">
        <v>18</v>
      </c>
      <c r="G17" s="47" t="s">
        <v>21</v>
      </c>
      <c r="H17" s="11" t="s">
        <v>21</v>
      </c>
      <c r="I17" s="5">
        <f>COUNTIFS(B17:H17,"&lt;&gt;空",B17:H17,"&lt;&gt;休",B17:H17,"&lt;&gt;調",B17:H17,"&lt;&gt;",B17:H17,"&lt;&gt;調整休")</f>
        <v>5</v>
      </c>
      <c r="J17" s="249">
        <f>SUM(COUNTIF(B17:H17,"9-14:30"))*(5)+(COUNTIF(B17:H17,"9-20"))*(10)+(COUNTIF(B17:H17,"9-19"))*(9)+(COUNTIF(B17:H17,"9-18"))*(8)+(COUNTIF(B17:H17,"9-17"))*(7.25)+(COUNTIF(B17:H17,"9-16"))*(6.25)+(COUNTIF(B17:H17,"9-15"))*(5.5)+(COUNTIF(B17:H17,"9-14"))*(4.5)+(COUNTIF(B17:H17,"9-13,17-20"))*(7)+(COUNTIF(B17:H17,"9-13"))*(4)+(COUNTIF(B17:H17,"9-12,18-20"))*(5)+(COUNTIF(B17:H17,"9-12,16-20"))*(7)+(COUNTIF(B17:H17,"9-12,16-19"))*(6)+(COUNTIF(B17:H17,"9-13,16-20"))*(6)+(COUNTIF(B17:H17,"9-12"))*(3)+(COUNTIF(B17:H17,"9-11:30"))*(2.5)+(COUNTIF(B17:H17,"9-11,16-19"))*(5)+(COUNTIF(B17:H17,"9-11"))*(2)+(COUNTIF(B17:H17,"9:30-11:30,16-19"))*(5)+(COUNTIF(B17:H17,"19-20"))*(1)+(COUNTIF(B17:H17,"17-20"))*(3)+(COUNTIF(B17:H17,"16-20"))*(4)+(COUNTIF(B17:H17,"15-20"))*(4.5)+(COUNTIF(B17:H17,"15-19"))*(4)+(COUNTIF(B17:H17,"14-20"))*(5.5)+(COUNTIF(B17:H17,"14-19"))*(4.5)+(COUNTIF(B17:H17,"14:30-20"))*(5)+(COUNTIF(B17:H17,"13-20"))*(6.25)+(COUNTIF(B17:H17,"13-19"))*(5.5)+(COUNTIF(B17:H17,"13-18"))*(4.5)+(COUNTIF(B17:H17,"13-17"))*(4)+(COUNTIF(B17:H17,"12-20"))*(7.25)+(COUNTIF(B17:H17,"10-20"))*(9)+(COUNTIF(B17:H17,"10-15"))*(4.5)+(COUNTIF(B17:H17,"12-18"))*(5.5)+(COUNTIF(B17:H17,"10-12,14-19"))*(6.5)+(COUNTIF(B17:H17,"10-14"))*(4)+(COUNTIF(B17:H17,"13:30-19"))*(5)+(COUNTIF(B17:H17,"14-17"))*(4)+(COUNTIF(B17:H17,"16-19"))*(4)+(COUNTIF(B17:H17,"13-16"))*(3)+(COUNTIF(B17:H17,"工場9:30-15"))*(5)+(COUNTIF(B17:H17,"工場9-15"))*(5.5)+(COUNTIF(B17:H17,"受9-/Y10-"))*(5.5)+(COUNTIF(B17:H17,"Y10-"))*(4.5)+(COUNTIF(B17:H17,"ﾏ安9-14"))*(4.5)</f>
        <v>21.5</v>
      </c>
      <c r="K17" s="250"/>
    </row>
    <row r="18" spans="1:11" ht="15" customHeight="1" x14ac:dyDescent="0.2">
      <c r="A18" s="19" t="s">
        <v>81</v>
      </c>
      <c r="B18" s="11" t="s">
        <v>19</v>
      </c>
      <c r="C18" s="32"/>
      <c r="D18" s="32"/>
      <c r="E18" s="11"/>
      <c r="F18" s="34"/>
      <c r="G18" s="11" t="s">
        <v>19</v>
      </c>
      <c r="H18" s="11" t="s">
        <v>19</v>
      </c>
      <c r="I18" s="5">
        <f t="shared" ref="I18:I21" si="2">COUNTIFS(B18:H18,"&lt;&gt;空",B18:H18,"&lt;&gt;休",B18:H18,"&lt;&gt;調",B18:H18,"&lt;&gt;",B18:H18,"&lt;&gt;調整休")</f>
        <v>3</v>
      </c>
      <c r="J18" s="249">
        <f t="shared" ref="J18:J21" si="3">SUM(COUNTIF(B18:H18,"9-14:30"))*(5)+(COUNTIF(B18:H18,"9-20"))*(10)+(COUNTIF(B18:H18,"9-19"))*(9)+(COUNTIF(B18:H18,"9-18"))*(8)+(COUNTIF(B18:H18,"9-17"))*(7.25)+(COUNTIF(B18:H18,"9-16"))*(6.25)+(COUNTIF(B18:H18,"9-15"))*(5.5)+(COUNTIF(B18:H18,"9-14"))*(4.5)+(COUNTIF(B18:H18,"9-13,17-20"))*(7)+(COUNTIF(B18:H18,"9-13"))*(4)+(COUNTIF(B18:H18,"9-12,18-20"))*(5)+(COUNTIF(B18:H18,"9-12,16-20"))*(7)+(COUNTIF(B18:H18,"9-12,16-19"))*(6)+(COUNTIF(B18:H18,"9-13,16-20"))*(6)+(COUNTIF(B18:H18,"9-12"))*(3)+(COUNTIF(B18:H18,"9-11:30"))*(2.5)+(COUNTIF(B18:H18,"9-11,16-19"))*(5)+(COUNTIF(B18:H18,"9-11"))*(2)+(COUNTIF(B18:H18,"9:30-11:30,16-19"))*(5)+(COUNTIF(B18:H18,"19-20"))*(1)+(COUNTIF(B18:H18,"17-20"))*(3)+(COUNTIF(B18:H18,"16-20"))*(4)+(COUNTIF(B18:H18,"15-20"))*(4.5)+(COUNTIF(B18:H18,"15-19"))*(4)+(COUNTIF(B18:H18,"14-20"))*(5.5)+(COUNTIF(B18:H18,"14-19"))*(4.5)+(COUNTIF(B18:H18,"14:30-20"))*(5)+(COUNTIF(B18:H18,"13-20"))*(6.25)+(COUNTIF(B18:H18,"13-19"))*(5.5)+(COUNTIF(B18:H18,"13-18"))*(4.5)+(COUNTIF(B18:H18,"13-17"))*(4)+(COUNTIF(B18:H18,"12-20"))*(7.25)+(COUNTIF(B18:H18,"10-20"))*(9)+(COUNTIF(B18:H18,"10-15"))*(4.5)+(COUNTIF(B18:H18,"12-18"))*(5.5)+(COUNTIF(B18:H18,"10-12,14-19"))*(6.5)+(COUNTIF(B18:H18,"10-14"))*(4)+(COUNTIF(B18:H18,"13:30-19"))*(5)+(COUNTIF(B18:H18,"14-17"))*(4)+(COUNTIF(B18:H18,"16-19"))*(4)+(COUNTIF(B18:H18,"13-16"))*(3)+(COUNTIF(B18:H18,"工場9:30-15"))*(5)+(COUNTIF(B18:H18,"工場9-15"))*(5.5)+(COUNTIF(B18:H18,"受9-/Y10-"))*(5.5)+(COUNTIF(B18:H18,"Y10-"))*(4.5)+(COUNTIF(B18:H18,"ﾏ安9-14"))*(4.5)</f>
        <v>13.5</v>
      </c>
      <c r="K18" s="250"/>
    </row>
    <row r="19" spans="1:11" ht="15" customHeight="1" x14ac:dyDescent="0.2">
      <c r="A19" s="41" t="s">
        <v>84</v>
      </c>
      <c r="B19" s="11" t="s">
        <v>18</v>
      </c>
      <c r="C19" s="32"/>
      <c r="D19" s="32"/>
      <c r="E19" s="26"/>
      <c r="F19" s="11" t="s">
        <v>18</v>
      </c>
      <c r="G19" s="11"/>
      <c r="H19" s="11" t="s">
        <v>18</v>
      </c>
      <c r="I19" s="5">
        <f t="shared" si="2"/>
        <v>3</v>
      </c>
      <c r="J19" s="249">
        <f t="shared" si="3"/>
        <v>13.5</v>
      </c>
      <c r="K19" s="250"/>
    </row>
    <row r="20" spans="1:11" ht="15" customHeight="1" x14ac:dyDescent="0.2">
      <c r="A20" s="19" t="s">
        <v>129</v>
      </c>
      <c r="B20" s="52"/>
      <c r="C20" s="32"/>
      <c r="D20" s="32"/>
      <c r="E20" s="11" t="s">
        <v>19</v>
      </c>
      <c r="F20" s="26"/>
      <c r="G20" s="52"/>
      <c r="H20" s="52"/>
      <c r="I20" s="5">
        <f t="shared" si="2"/>
        <v>1</v>
      </c>
      <c r="J20" s="249">
        <f t="shared" si="3"/>
        <v>4.5</v>
      </c>
      <c r="K20" s="250"/>
    </row>
    <row r="21" spans="1:11" ht="15" customHeight="1" x14ac:dyDescent="0.2">
      <c r="A21" s="19" t="s">
        <v>145</v>
      </c>
      <c r="B21" s="81"/>
      <c r="C21" s="32"/>
      <c r="D21" s="32"/>
      <c r="E21" s="11"/>
      <c r="F21" s="11" t="s">
        <v>19</v>
      </c>
      <c r="G21" s="52"/>
      <c r="H21" s="11" t="s">
        <v>19</v>
      </c>
      <c r="I21" s="5">
        <f t="shared" si="2"/>
        <v>2</v>
      </c>
      <c r="J21" s="249">
        <f t="shared" si="3"/>
        <v>9</v>
      </c>
      <c r="K21" s="250"/>
    </row>
    <row r="22" spans="1:11" ht="15" customHeight="1" x14ac:dyDescent="0.2">
      <c r="A22" s="79" t="s">
        <v>53</v>
      </c>
      <c r="B22" s="81"/>
      <c r="C22" s="32"/>
      <c r="D22" s="32"/>
      <c r="E22" s="170"/>
      <c r="F22" s="170"/>
      <c r="G22" s="170" t="s">
        <v>185</v>
      </c>
      <c r="H22" s="81"/>
      <c r="I22" s="25"/>
      <c r="J22" s="42"/>
      <c r="K22" s="70"/>
    </row>
    <row r="23" spans="1:11" ht="15" customHeight="1" x14ac:dyDescent="0.2">
      <c r="A23" s="21" t="s">
        <v>0</v>
      </c>
      <c r="B23" s="22">
        <v>46188</v>
      </c>
      <c r="C23" s="22">
        <v>46189</v>
      </c>
      <c r="D23" s="22">
        <v>46190</v>
      </c>
      <c r="E23" s="22">
        <v>46191</v>
      </c>
      <c r="F23" s="22">
        <v>46192</v>
      </c>
      <c r="G23" s="22">
        <v>46193</v>
      </c>
      <c r="H23" s="22">
        <v>46194</v>
      </c>
      <c r="I23" s="7"/>
      <c r="J23" s="258" t="s">
        <v>2</v>
      </c>
      <c r="K23" s="259"/>
    </row>
    <row r="24" spans="1:11" ht="15" customHeight="1" x14ac:dyDescent="0.2">
      <c r="A24" s="21" t="s">
        <v>3</v>
      </c>
      <c r="B24" s="2" t="s">
        <v>4</v>
      </c>
      <c r="C24" s="20" t="s">
        <v>5</v>
      </c>
      <c r="D24" s="20" t="s">
        <v>6</v>
      </c>
      <c r="E24" s="2" t="s">
        <v>7</v>
      </c>
      <c r="F24" s="2" t="s">
        <v>8</v>
      </c>
      <c r="G24" s="2" t="s">
        <v>9</v>
      </c>
      <c r="H24" s="23" t="s">
        <v>10</v>
      </c>
      <c r="I24" s="8"/>
      <c r="J24" s="260"/>
      <c r="K24" s="261"/>
    </row>
    <row r="25" spans="1:11" ht="15" customHeight="1" x14ac:dyDescent="0.2">
      <c r="A25" s="16" t="s">
        <v>11</v>
      </c>
      <c r="B25" s="11"/>
      <c r="C25" s="2"/>
      <c r="D25" s="2"/>
      <c r="E25" s="11"/>
      <c r="F25" s="264" t="s">
        <v>50</v>
      </c>
      <c r="G25" s="264"/>
      <c r="H25" s="264"/>
      <c r="I25" s="45"/>
      <c r="J25" s="249"/>
      <c r="K25" s="250"/>
    </row>
    <row r="26" spans="1:11" ht="15" customHeight="1" x14ac:dyDescent="0.2">
      <c r="A26" s="18" t="s">
        <v>79</v>
      </c>
      <c r="B26" s="11" t="s">
        <v>18</v>
      </c>
      <c r="C26" s="24"/>
      <c r="D26" s="28"/>
      <c r="E26" s="47" t="s">
        <v>54</v>
      </c>
      <c r="F26" s="165" t="s">
        <v>149</v>
      </c>
      <c r="G26" s="47" t="s">
        <v>18</v>
      </c>
      <c r="H26" s="47"/>
      <c r="I26" s="5">
        <f>COUNTIFS(B26:H26,"&lt;&gt;空",B26:H26,"&lt;&gt;休",B26:H26,"&lt;&gt;調",B26:H26,"&lt;&gt;",B26:H26,"&lt;&gt;調整休")</f>
        <v>4</v>
      </c>
      <c r="J26" s="249">
        <f>SUM(COUNTIF(B26:H26,"9-14:30"))*(5)+(COUNTIF(B26:H26,"9-20"))*(10)+(COUNTIF(B26:H26,"9-19"))*(9)+(COUNTIF(B26:H26,"9-18"))*(8)+(COUNTIF(B26:H26,"9-17"))*(7.25)+(COUNTIF(B26:H26,"9-16"))*(6.25)+(COUNTIF(B26:H26,"9-15"))*(5.5)+(COUNTIF(B26:H26,"9-14"))*(4.5)+(COUNTIF(B26:H26,"9-13,17-20"))*(7)+(COUNTIF(B26:H26,"9-13"))*(4)+(COUNTIF(B26:H26,"9-12,18-20"))*(5)+(COUNTIF(B26:H26,"9-12,16-20"))*(7)+(COUNTIF(B26:H26,"9-12,16-19"))*(6)+(COUNTIF(B26:H26,"9-13,16-20"))*(6)+(COUNTIF(B26:H26,"9-12"))*(3)+(COUNTIF(B26:H26,"9-11:30"))*(2.5)+(COUNTIF(B26:H26,"9-11,16-19"))*(5)+(COUNTIF(B26:H26,"9-11"))*(2)+(COUNTIF(B26:H26,"9:30-11:30,16-19"))*(5)+(COUNTIF(B26:H26,"19-20"))*(1)+(COUNTIF(B26:H26,"17-20"))*(3)+(COUNTIF(B26:H26,"16-20"))*(4)+(COUNTIF(B26:H26,"15-20"))*(4.5)+(COUNTIF(B26:H26,"15-19"))*(4)+(COUNTIF(B26:H26,"14-20"))*(5.5)+(COUNTIF(B26:H26,"14-19"))*(4.5)+(COUNTIF(B26:H26,"14:30-20"))*(5)+(COUNTIF(B26:H26,"13-20"))*(6.25)+(COUNTIF(B26:H26,"13-19"))*(5.5)+(COUNTIF(B26:H26,"13-18"))*(4.5)+(COUNTIF(B26:H26,"13-17"))*(4)+(COUNTIF(B26:H26,"12-20"))*(7.25)+(COUNTIF(B26:H26,"10-20"))*(9)+(COUNTIF(B26:H26,"10-15"))*(4.5)+(COUNTIF(B26:H26,"12-18"))*(5.5)+(COUNTIF(B26:H26,"10-12,14-19"))*(6.5)+(COUNTIF(B26:H26,"10-14"))*(4)+(COUNTIF(B26:H26,"13:30-19"))*(5)+(COUNTIF(B26:H26,"14-17"))*(4)+(COUNTIF(B26:H26,"16-19"))*(4)+(COUNTIF(B26:H26,"13-16"))*(3)+(COUNTIF(B26:H26,"工場9:30-15"))*(5)+(COUNTIF(B26:H26,"工場9-15"))*(5.5)+(COUNTIF(B26:H26,"受9-/Y10-"))*(5.5)+(COUNTIF(B26:H26,"Y10-"))*(4.5)+(COUNTIF(B26:H26,"ﾏ安9-14"))*(4.5)</f>
        <v>21.75</v>
      </c>
      <c r="K26" s="250"/>
    </row>
    <row r="27" spans="1:11" ht="15" customHeight="1" x14ac:dyDescent="0.2">
      <c r="A27" s="19" t="s">
        <v>80</v>
      </c>
      <c r="B27" s="202" t="s">
        <v>136</v>
      </c>
      <c r="C27" s="2"/>
      <c r="D27" s="28"/>
      <c r="E27" s="202" t="s">
        <v>136</v>
      </c>
      <c r="F27" s="11" t="s">
        <v>18</v>
      </c>
      <c r="G27" s="47"/>
      <c r="H27" s="11"/>
      <c r="I27" s="5">
        <f>COUNTIFS(B27:H27,"&lt;&gt;空",B27:H27,"&lt;&gt;休",B27:H27,"&lt;&gt;調",B27:H27,"&lt;&gt;",B27:H27,"&lt;&gt;調整休")</f>
        <v>3</v>
      </c>
      <c r="J27" s="249">
        <f>SUM(COUNTIF(B27:H27,"9-14:30"))*(5)+(COUNTIF(B27:H27,"9-20"))*(10)+(COUNTIF(B27:H27,"9-19"))*(9)+(COUNTIF(B27:H27,"9-18"))*(8)+(COUNTIF(B27:H27,"9-17"))*(7.25)+(COUNTIF(B27:H27,"9-16"))*(6.25)+(COUNTIF(B27:H27,"9-15"))*(5.5)+(COUNTIF(B27:H27,"9-14"))*(4.5)+(COUNTIF(B27:H27,"9-13,17-20"))*(7)+(COUNTIF(B27:H27,"9-13"))*(4)+(COUNTIF(B27:H27,"9-12,18-20"))*(5)+(COUNTIF(B27:H27,"9-12,16-20"))*(7)+(COUNTIF(B27:H27,"9-12,16-19"))*(6)+(COUNTIF(B27:H27,"9-13,16-20"))*(6)+(COUNTIF(B27:H27,"9-12"))*(3)+(COUNTIF(B27:H27,"9-11:30"))*(2.5)+(COUNTIF(B27:H27,"9-11,16-19"))*(5)+(COUNTIF(B27:H27,"9-11"))*(2)+(COUNTIF(B27:H27,"9:30-11:30,16-19"))*(5)+(COUNTIF(B27:H27,"19-20"))*(1)+(COUNTIF(B27:H27,"17-20"))*(3)+(COUNTIF(B27:H27,"16-20"))*(4)+(COUNTIF(B27:H27,"15-20"))*(4.5)+(COUNTIF(B27:H27,"15-19"))*(4)+(COUNTIF(B27:H27,"14-20"))*(5.5)+(COUNTIF(B27:H27,"14-19"))*(4.5)+(COUNTIF(B27:H27,"14:30-20"))*(5)+(COUNTIF(B27:H27,"13-20"))*(6.25)+(COUNTIF(B27:H27,"13-19"))*(5.5)+(COUNTIF(B27:H27,"13-18"))*(4.5)+(COUNTIF(B27:H27,"13-17"))*(4)+(COUNTIF(B27:H27,"12-20"))*(7.25)+(COUNTIF(B27:H27,"10-20"))*(9)+(COUNTIF(B27:H27,"10-15"))*(4.5)+(COUNTIF(B27:H27,"12-18"))*(5.5)+(COUNTIF(B27:H27,"10-12,14-19"))*(6.5)+(COUNTIF(B27:H27,"10-14"))*(4)+(COUNTIF(B27:H27,"13:30-19"))*(5)+(COUNTIF(B27:H27,"14-17"))*(4)+(COUNTIF(B27:H27,"16-19"))*(4)+(COUNTIF(B27:H27,"13-16"))*(3)+(COUNTIF(B27:H27,"工場9:30-15"))*(5)+(COUNTIF(B27:H27,"工場9-15"))*(5.5)+(COUNTIF(B27:H27,"受9-/Y10-"))*(5.5)+(COUNTIF(B27:H27,"Y10-"))*(4.5)+(COUNTIF(B27:H27,"ﾏ安9-14"))*(4.5)</f>
        <v>13.5</v>
      </c>
      <c r="K27" s="250"/>
    </row>
    <row r="28" spans="1:11" ht="15" customHeight="1" x14ac:dyDescent="0.2">
      <c r="A28" s="19" t="s">
        <v>81</v>
      </c>
      <c r="B28" s="11" t="s">
        <v>19</v>
      </c>
      <c r="C28" s="32"/>
      <c r="D28" s="32"/>
      <c r="E28" s="11"/>
      <c r="F28" s="34"/>
      <c r="G28" s="11" t="s">
        <v>19</v>
      </c>
      <c r="H28" s="11" t="s">
        <v>19</v>
      </c>
      <c r="I28" s="5">
        <f t="shared" ref="I28:I31" si="4">COUNTIFS(B28:H28,"&lt;&gt;空",B28:H28,"&lt;&gt;休",B28:H28,"&lt;&gt;調",B28:H28,"&lt;&gt;",B28:H28,"&lt;&gt;調整休")</f>
        <v>3</v>
      </c>
      <c r="J28" s="249">
        <f t="shared" ref="J28:J31" si="5">SUM(COUNTIF(B28:H28,"9-14:30"))*(5)+(COUNTIF(B28:H28,"9-20"))*(10)+(COUNTIF(B28:H28,"9-19"))*(9)+(COUNTIF(B28:H28,"9-18"))*(8)+(COUNTIF(B28:H28,"9-17"))*(7.25)+(COUNTIF(B28:H28,"9-16"))*(6.25)+(COUNTIF(B28:H28,"9-15"))*(5.5)+(COUNTIF(B28:H28,"9-14"))*(4.5)+(COUNTIF(B28:H28,"9-13,17-20"))*(7)+(COUNTIF(B28:H28,"9-13"))*(4)+(COUNTIF(B28:H28,"9-12,18-20"))*(5)+(COUNTIF(B28:H28,"9-12,16-20"))*(7)+(COUNTIF(B28:H28,"9-12,16-19"))*(6)+(COUNTIF(B28:H28,"9-13,16-20"))*(6)+(COUNTIF(B28:H28,"9-12"))*(3)+(COUNTIF(B28:H28,"9-11:30"))*(2.5)+(COUNTIF(B28:H28,"9-11,16-19"))*(5)+(COUNTIF(B28:H28,"9-11"))*(2)+(COUNTIF(B28:H28,"9:30-11:30,16-19"))*(5)+(COUNTIF(B28:H28,"19-20"))*(1)+(COUNTIF(B28:H28,"17-20"))*(3)+(COUNTIF(B28:H28,"16-20"))*(4)+(COUNTIF(B28:H28,"15-20"))*(4.5)+(COUNTIF(B28:H28,"15-19"))*(4)+(COUNTIF(B28:H28,"14-20"))*(5.5)+(COUNTIF(B28:H28,"14-19"))*(4.5)+(COUNTIF(B28:H28,"14:30-20"))*(5)+(COUNTIF(B28:H28,"13-20"))*(6.25)+(COUNTIF(B28:H28,"13-19"))*(5.5)+(COUNTIF(B28:H28,"13-18"))*(4.5)+(COUNTIF(B28:H28,"13-17"))*(4)+(COUNTIF(B28:H28,"12-20"))*(7.25)+(COUNTIF(B28:H28,"10-20"))*(9)+(COUNTIF(B28:H28,"10-15"))*(4.5)+(COUNTIF(B28:H28,"12-18"))*(5.5)+(COUNTIF(B28:H28,"10-12,14-19"))*(6.5)+(COUNTIF(B28:H28,"10-14"))*(4)+(COUNTIF(B28:H28,"13:30-19"))*(5)+(COUNTIF(B28:H28,"14-17"))*(4)+(COUNTIF(B28:H28,"16-19"))*(4)+(COUNTIF(B28:H28,"13-16"))*(3)+(COUNTIF(B28:H28,"工場9:30-15"))*(5)+(COUNTIF(B28:H28,"工場9-15"))*(5.5)+(COUNTIF(B28:H28,"受9-/Y10-"))*(5.5)+(COUNTIF(B28:H28,"Y10-"))*(4.5)+(COUNTIF(B28:H28,"ﾏ安9-14"))*(4.5)</f>
        <v>13.5</v>
      </c>
      <c r="K28" s="250"/>
    </row>
    <row r="29" spans="1:11" ht="15" customHeight="1" x14ac:dyDescent="0.2">
      <c r="A29" s="41" t="s">
        <v>84</v>
      </c>
      <c r="B29" s="11"/>
      <c r="C29" s="32"/>
      <c r="D29" s="2"/>
      <c r="E29" s="26"/>
      <c r="F29" s="11"/>
      <c r="G29" s="11"/>
      <c r="H29" s="11"/>
      <c r="I29" s="5">
        <f t="shared" si="4"/>
        <v>0</v>
      </c>
      <c r="J29" s="249">
        <f t="shared" si="5"/>
        <v>0</v>
      </c>
      <c r="K29" s="250"/>
    </row>
    <row r="30" spans="1:11" ht="15" customHeight="1" x14ac:dyDescent="0.2">
      <c r="A30" s="19" t="s">
        <v>129</v>
      </c>
      <c r="B30" s="11" t="s">
        <v>18</v>
      </c>
      <c r="C30" s="32"/>
      <c r="D30" s="32"/>
      <c r="E30" s="11" t="s">
        <v>19</v>
      </c>
      <c r="F30" s="26"/>
      <c r="G30" s="11" t="s">
        <v>18</v>
      </c>
      <c r="H30" s="11" t="s">
        <v>18</v>
      </c>
      <c r="I30" s="5">
        <f t="shared" si="4"/>
        <v>4</v>
      </c>
      <c r="J30" s="249">
        <f t="shared" si="5"/>
        <v>18</v>
      </c>
      <c r="K30" s="250"/>
    </row>
    <row r="31" spans="1:11" ht="15" customHeight="1" x14ac:dyDescent="0.2">
      <c r="A31" s="19" t="s">
        <v>145</v>
      </c>
      <c r="B31" s="81"/>
      <c r="C31" s="32"/>
      <c r="D31" s="32"/>
      <c r="E31" s="11"/>
      <c r="F31" s="11" t="s">
        <v>19</v>
      </c>
      <c r="G31" s="11" t="s">
        <v>19</v>
      </c>
      <c r="H31" s="11" t="s">
        <v>19</v>
      </c>
      <c r="I31" s="5">
        <f t="shared" si="4"/>
        <v>3</v>
      </c>
      <c r="J31" s="249">
        <f t="shared" si="5"/>
        <v>13.5</v>
      </c>
      <c r="K31" s="250"/>
    </row>
    <row r="32" spans="1:11" ht="15" customHeight="1" x14ac:dyDescent="0.2">
      <c r="A32" s="79" t="s">
        <v>53</v>
      </c>
      <c r="B32" s="81"/>
      <c r="C32" s="32"/>
      <c r="D32" s="32"/>
      <c r="E32" s="170"/>
      <c r="F32" s="170"/>
      <c r="G32" s="81"/>
      <c r="H32" s="81"/>
      <c r="I32" s="25"/>
      <c r="J32" s="42"/>
      <c r="K32" s="70"/>
    </row>
    <row r="33" spans="1:11" ht="15" customHeight="1" x14ac:dyDescent="0.2">
      <c r="A33" s="21" t="s">
        <v>0</v>
      </c>
      <c r="B33" s="60">
        <v>46195</v>
      </c>
      <c r="C33" s="60">
        <v>46196</v>
      </c>
      <c r="D33" s="60">
        <v>46197</v>
      </c>
      <c r="E33" s="60">
        <v>46198</v>
      </c>
      <c r="F33" s="60">
        <v>46199</v>
      </c>
      <c r="G33" s="60">
        <v>46200</v>
      </c>
      <c r="H33" s="60">
        <v>46201</v>
      </c>
      <c r="I33" s="7"/>
      <c r="J33" s="258" t="s">
        <v>2</v>
      </c>
      <c r="K33" s="259"/>
    </row>
    <row r="34" spans="1:11" ht="15" customHeight="1" x14ac:dyDescent="0.2">
      <c r="A34" s="21" t="s">
        <v>3</v>
      </c>
      <c r="B34" s="2" t="s">
        <v>4</v>
      </c>
      <c r="C34" s="20" t="s">
        <v>5</v>
      </c>
      <c r="D34" s="20" t="s">
        <v>6</v>
      </c>
      <c r="E34" s="2" t="s">
        <v>7</v>
      </c>
      <c r="F34" s="2" t="s">
        <v>8</v>
      </c>
      <c r="G34" s="2" t="s">
        <v>9</v>
      </c>
      <c r="H34" s="23" t="s">
        <v>10</v>
      </c>
      <c r="I34" s="8"/>
      <c r="J34" s="260"/>
      <c r="K34" s="261"/>
    </row>
    <row r="35" spans="1:11" ht="15" customHeight="1" x14ac:dyDescent="0.2">
      <c r="A35" s="16" t="s">
        <v>12</v>
      </c>
      <c r="B35" s="11"/>
      <c r="C35" s="2"/>
      <c r="D35" s="2"/>
      <c r="E35" s="11"/>
      <c r="F35" s="11"/>
      <c r="G35" s="11"/>
      <c r="H35" s="11"/>
      <c r="I35" s="5"/>
      <c r="J35" s="249"/>
      <c r="K35" s="250"/>
    </row>
    <row r="36" spans="1:11" ht="15" customHeight="1" x14ac:dyDescent="0.2">
      <c r="A36" s="18" t="s">
        <v>79</v>
      </c>
      <c r="B36" s="11" t="s">
        <v>18</v>
      </c>
      <c r="C36" s="24"/>
      <c r="D36" s="28"/>
      <c r="E36" s="47" t="s">
        <v>54</v>
      </c>
      <c r="F36" s="165" t="s">
        <v>149</v>
      </c>
      <c r="G36" s="11" t="s">
        <v>18</v>
      </c>
      <c r="H36" s="47"/>
      <c r="I36" s="5">
        <f>COUNTIFS(B36:H36,"&lt;&gt;空",B36:H36,"&lt;&gt;休",B36:H36,"&lt;&gt;調",B36:H36,"&lt;&gt;",B36:H36,"&lt;&gt;調整休")</f>
        <v>4</v>
      </c>
      <c r="J36" s="249">
        <f>SUM(COUNTIF(B36:H36,"9-14:30"))*(5)+(COUNTIF(B36:H36,"9-20"))*(10)+(COUNTIF(B36:H36,"9-19"))*(9)+(COUNTIF(B36:H36,"9-18"))*(8)+(COUNTIF(B36:H36,"9-17"))*(7.25)+(COUNTIF(B36:H36,"9-16"))*(6.25)+(COUNTIF(B36:H36,"9-15"))*(5.5)+(COUNTIF(B36:H36,"9-14"))*(4.5)+(COUNTIF(B36:H36,"9-13,17-20"))*(7)+(COUNTIF(B36:H36,"9-13"))*(4)+(COUNTIF(B36:H36,"9-12,18-20"))*(5)+(COUNTIF(B36:H36,"9-12,16-20"))*(7)+(COUNTIF(B36:H36,"9-12,16-19"))*(6)+(COUNTIF(B36:H36,"9-13,16-20"))*(6)+(COUNTIF(B36:H36,"9-12"))*(3)+(COUNTIF(B36:H36,"9-11:30"))*(2.5)+(COUNTIF(B36:H36,"9-11,16-19"))*(5)+(COUNTIF(B36:H36,"9-11"))*(2)+(COUNTIF(B36:H36,"9:30-11:30,16-19"))*(5)+(COUNTIF(B36:H36,"19-20"))*(1)+(COUNTIF(B36:H36,"17-20"))*(3)+(COUNTIF(B36:H36,"16-20"))*(4)+(COUNTIF(B36:H36,"15-20"))*(4.5)+(COUNTIF(B36:H36,"15-19"))*(4)+(COUNTIF(B36:H36,"14-20"))*(5.5)+(COUNTIF(B36:H36,"14-19"))*(4.5)+(COUNTIF(B36:H36,"14:30-20"))*(5)+(COUNTIF(B36:H36,"13-20"))*(6.25)+(COUNTIF(B36:H36,"13-19"))*(5.5)+(COUNTIF(B36:H36,"13-18"))*(4.5)+(COUNTIF(B36:H36,"13-17"))*(4)+(COUNTIF(B36:H36,"12-20"))*(7.25)+(COUNTIF(B36:H36,"10-20"))*(9)+(COUNTIF(B36:H36,"10-15"))*(4.5)+(COUNTIF(B36:H36,"12-18"))*(5.5)+(COUNTIF(B36:H36,"10-12,14-19"))*(6.5)+(COUNTIF(B36:H36,"10-14"))*(4)+(COUNTIF(B36:H36,"13:30-19"))*(5)+(COUNTIF(B36:H36,"14-17"))*(4)+(COUNTIF(B36:H36,"16-19"))*(4)+(COUNTIF(B36:H36,"13-16"))*(3)+(COUNTIF(B36:H36,"工場9:30-15"))*(5)+(COUNTIF(B36:H36,"工場9-15"))*(5.5)+(COUNTIF(B36:H36,"受9-/Y10-"))*(5.5)+(COUNTIF(B36:H36,"Y10-"))*(4.5)+(COUNTIF(B36:H36,"ﾏ安9-14"))*(4.5)</f>
        <v>21.75</v>
      </c>
      <c r="K36" s="250"/>
    </row>
    <row r="37" spans="1:11" ht="15" customHeight="1" x14ac:dyDescent="0.2">
      <c r="A37" s="19" t="s">
        <v>80</v>
      </c>
      <c r="B37" s="202" t="s">
        <v>136</v>
      </c>
      <c r="C37" s="2"/>
      <c r="D37" s="28"/>
      <c r="E37" s="202" t="s">
        <v>136</v>
      </c>
      <c r="F37" s="11" t="s">
        <v>18</v>
      </c>
      <c r="G37" s="47"/>
      <c r="H37" s="11"/>
      <c r="I37" s="5">
        <f>COUNTIFS(B37:H37,"&lt;&gt;空",B37:H37,"&lt;&gt;休",B37:H37,"&lt;&gt;調",B37:H37,"&lt;&gt;",B37:H37,"&lt;&gt;調整休")</f>
        <v>3</v>
      </c>
      <c r="J37" s="249">
        <f>SUM(COUNTIF(B37:H37,"9-14:30"))*(5)+(COUNTIF(B37:H37,"9-20"))*(10)+(COUNTIF(B37:H37,"9-19"))*(9)+(COUNTIF(B37:H37,"9-18"))*(8)+(COUNTIF(B37:H37,"9-17"))*(7.25)+(COUNTIF(B37:H37,"9-16"))*(6.25)+(COUNTIF(B37:H37,"9-15"))*(5.5)+(COUNTIF(B37:H37,"9-14"))*(4.5)+(COUNTIF(B37:H37,"9-13,17-20"))*(7)+(COUNTIF(B37:H37,"9-13"))*(4)+(COUNTIF(B37:H37,"9-12,18-20"))*(5)+(COUNTIF(B37:H37,"9-12,16-20"))*(7)+(COUNTIF(B37:H37,"9-12,16-19"))*(6)+(COUNTIF(B37:H37,"9-13,16-20"))*(6)+(COUNTIF(B37:H37,"9-12"))*(3)+(COUNTIF(B37:H37,"9-11:30"))*(2.5)+(COUNTIF(B37:H37,"9-11,16-19"))*(5)+(COUNTIF(B37:H37,"9-11"))*(2)+(COUNTIF(B37:H37,"9:30-11:30,16-19"))*(5)+(COUNTIF(B37:H37,"19-20"))*(1)+(COUNTIF(B37:H37,"17-20"))*(3)+(COUNTIF(B37:H37,"16-20"))*(4)+(COUNTIF(B37:H37,"15-20"))*(4.5)+(COUNTIF(B37:H37,"15-19"))*(4)+(COUNTIF(B37:H37,"14-20"))*(5.5)+(COUNTIF(B37:H37,"14-19"))*(4.5)+(COUNTIF(B37:H37,"14:30-20"))*(5)+(COUNTIF(B37:H37,"13-20"))*(6.25)+(COUNTIF(B37:H37,"13-19"))*(5.5)+(COUNTIF(B37:H37,"13-18"))*(4.5)+(COUNTIF(B37:H37,"13-17"))*(4)+(COUNTIF(B37:H37,"12-20"))*(7.25)+(COUNTIF(B37:H37,"10-20"))*(9)+(COUNTIF(B37:H37,"10-15"))*(4.5)+(COUNTIF(B37:H37,"12-18"))*(5.5)+(COUNTIF(B37:H37,"10-12,14-19"))*(6.5)+(COUNTIF(B37:H37,"10-14"))*(4)+(COUNTIF(B37:H37,"13:30-19"))*(5)+(COUNTIF(B37:H37,"14-17"))*(4)+(COUNTIF(B37:H37,"16-19"))*(4)+(COUNTIF(B37:H37,"13-16"))*(3)+(COUNTIF(B37:H37,"工場9:30-15"))*(5)+(COUNTIF(B37:H37,"工場9-15"))*(5.5)+(COUNTIF(B37:H37,"受9-/Y10-"))*(5.5)+(COUNTIF(B37:H37,"Y10-"))*(4.5)+(COUNTIF(B37:H37,"ﾏ安9-14"))*(4.5)</f>
        <v>13.5</v>
      </c>
      <c r="K37" s="250"/>
    </row>
    <row r="38" spans="1:11" ht="15" customHeight="1" x14ac:dyDescent="0.2">
      <c r="A38" s="19" t="s">
        <v>81</v>
      </c>
      <c r="B38" s="11" t="s">
        <v>19</v>
      </c>
      <c r="C38" s="32"/>
      <c r="D38" s="32"/>
      <c r="E38" s="11"/>
      <c r="F38" s="34"/>
      <c r="G38" s="11" t="s">
        <v>19</v>
      </c>
      <c r="H38" s="11" t="s">
        <v>19</v>
      </c>
      <c r="I38" s="5">
        <f t="shared" ref="I38:I41" si="6">COUNTIFS(B38:H38,"&lt;&gt;空",B38:H38,"&lt;&gt;休",B38:H38,"&lt;&gt;調",B38:H38,"&lt;&gt;",B38:H38,"&lt;&gt;調整休")</f>
        <v>3</v>
      </c>
      <c r="J38" s="249">
        <f t="shared" ref="J38:J41" si="7">SUM(COUNTIF(B38:H38,"9-14:30"))*(5)+(COUNTIF(B38:H38,"9-20"))*(10)+(COUNTIF(B38:H38,"9-19"))*(9)+(COUNTIF(B38:H38,"9-18"))*(8)+(COUNTIF(B38:H38,"9-17"))*(7.25)+(COUNTIF(B38:H38,"9-16"))*(6.25)+(COUNTIF(B38:H38,"9-15"))*(5.5)+(COUNTIF(B38:H38,"9-14"))*(4.5)+(COUNTIF(B38:H38,"9-13,17-20"))*(7)+(COUNTIF(B38:H38,"9-13"))*(4)+(COUNTIF(B38:H38,"9-12,18-20"))*(5)+(COUNTIF(B38:H38,"9-12,16-20"))*(7)+(COUNTIF(B38:H38,"9-12,16-19"))*(6)+(COUNTIF(B38:H38,"9-13,16-20"))*(6)+(COUNTIF(B38:H38,"9-12"))*(3)+(COUNTIF(B38:H38,"9-11:30"))*(2.5)+(COUNTIF(B38:H38,"9-11,16-19"))*(5)+(COUNTIF(B38:H38,"9-11"))*(2)+(COUNTIF(B38:H38,"9:30-11:30,16-19"))*(5)+(COUNTIF(B38:H38,"19-20"))*(1)+(COUNTIF(B38:H38,"17-20"))*(3)+(COUNTIF(B38:H38,"16-20"))*(4)+(COUNTIF(B38:H38,"15-20"))*(4.5)+(COUNTIF(B38:H38,"15-19"))*(4)+(COUNTIF(B38:H38,"14-20"))*(5.5)+(COUNTIF(B38:H38,"14-19"))*(4.5)+(COUNTIF(B38:H38,"14:30-20"))*(5)+(COUNTIF(B38:H38,"13-20"))*(6.25)+(COUNTIF(B38:H38,"13-19"))*(5.5)+(COUNTIF(B38:H38,"13-18"))*(4.5)+(COUNTIF(B38:H38,"13-17"))*(4)+(COUNTIF(B38:H38,"12-20"))*(7.25)+(COUNTIF(B38:H38,"10-20"))*(9)+(COUNTIF(B38:H38,"10-15"))*(4.5)+(COUNTIF(B38:H38,"12-18"))*(5.5)+(COUNTIF(B38:H38,"10-12,14-19"))*(6.5)+(COUNTIF(B38:H38,"10-14"))*(4)+(COUNTIF(B38:H38,"13:30-19"))*(5)+(COUNTIF(B38:H38,"14-17"))*(4)+(COUNTIF(B38:H38,"16-19"))*(4)+(COUNTIF(B38:H38,"13-16"))*(3)+(COUNTIF(B38:H38,"工場9:30-15"))*(5)+(COUNTIF(B38:H38,"工場9-15"))*(5.5)+(COUNTIF(B38:H38,"受9-/Y10-"))*(5.5)+(COUNTIF(B38:H38,"Y10-"))*(4.5)+(COUNTIF(B38:H38,"ﾏ安9-14"))*(4.5)</f>
        <v>13.5</v>
      </c>
      <c r="K38" s="250"/>
    </row>
    <row r="39" spans="1:11" ht="15" customHeight="1" x14ac:dyDescent="0.2">
      <c r="A39" s="41" t="s">
        <v>84</v>
      </c>
      <c r="B39" s="11" t="s">
        <v>18</v>
      </c>
      <c r="C39" s="32"/>
      <c r="D39" s="32"/>
      <c r="E39" s="26"/>
      <c r="F39" s="11" t="s">
        <v>18</v>
      </c>
      <c r="G39" s="11"/>
      <c r="H39" s="11" t="s">
        <v>18</v>
      </c>
      <c r="I39" s="5">
        <f t="shared" si="6"/>
        <v>3</v>
      </c>
      <c r="J39" s="249">
        <f t="shared" si="7"/>
        <v>13.5</v>
      </c>
      <c r="K39" s="250"/>
    </row>
    <row r="40" spans="1:11" ht="15" customHeight="1" x14ac:dyDescent="0.2">
      <c r="A40" s="19" t="s">
        <v>129</v>
      </c>
      <c r="B40" s="11"/>
      <c r="C40" s="32"/>
      <c r="D40" s="32"/>
      <c r="E40" s="52"/>
      <c r="F40" s="26"/>
      <c r="G40" s="11" t="s">
        <v>18</v>
      </c>
      <c r="H40" s="11" t="s">
        <v>18</v>
      </c>
      <c r="I40" s="5">
        <f t="shared" si="6"/>
        <v>2</v>
      </c>
      <c r="J40" s="249">
        <f t="shared" si="7"/>
        <v>9</v>
      </c>
      <c r="K40" s="250"/>
    </row>
    <row r="41" spans="1:11" ht="15" customHeight="1" x14ac:dyDescent="0.2">
      <c r="A41" s="19" t="s">
        <v>145</v>
      </c>
      <c r="B41" s="81"/>
      <c r="C41" s="32"/>
      <c r="D41" s="32"/>
      <c r="E41" s="11"/>
      <c r="F41" s="11" t="s">
        <v>19</v>
      </c>
      <c r="G41" s="11" t="s">
        <v>19</v>
      </c>
      <c r="H41" s="11" t="s">
        <v>19</v>
      </c>
      <c r="I41" s="5">
        <f t="shared" si="6"/>
        <v>3</v>
      </c>
      <c r="J41" s="249">
        <f t="shared" si="7"/>
        <v>13.5</v>
      </c>
      <c r="K41" s="250"/>
    </row>
    <row r="42" spans="1:11" ht="15" customHeight="1" x14ac:dyDescent="0.2">
      <c r="A42" s="79" t="s">
        <v>53</v>
      </c>
      <c r="B42" s="81"/>
      <c r="C42" s="32"/>
      <c r="D42" s="32"/>
      <c r="E42" s="170" t="s">
        <v>112</v>
      </c>
      <c r="F42" s="170"/>
      <c r="G42" s="81"/>
      <c r="H42" s="81"/>
      <c r="I42" s="25"/>
      <c r="J42" s="42"/>
      <c r="K42" s="70"/>
    </row>
    <row r="43" spans="1:11" ht="15" customHeight="1" x14ac:dyDescent="0.2">
      <c r="A43" s="21" t="s">
        <v>0</v>
      </c>
      <c r="B43" s="22">
        <v>46202</v>
      </c>
      <c r="C43" s="22">
        <v>46203</v>
      </c>
      <c r="D43" s="22"/>
      <c r="E43" s="22"/>
      <c r="F43" s="22"/>
      <c r="G43" s="22"/>
      <c r="H43" s="22"/>
      <c r="I43" s="7"/>
      <c r="J43" s="258" t="s">
        <v>2</v>
      </c>
      <c r="K43" s="259"/>
    </row>
    <row r="44" spans="1:11" ht="15" customHeight="1" x14ac:dyDescent="0.2">
      <c r="A44" s="21" t="s">
        <v>3</v>
      </c>
      <c r="B44" s="2" t="s">
        <v>4</v>
      </c>
      <c r="C44" s="174" t="s">
        <v>5</v>
      </c>
      <c r="D44" s="174"/>
      <c r="E44" s="2"/>
      <c r="F44" s="2"/>
      <c r="G44" s="2"/>
      <c r="H44" s="23"/>
      <c r="I44" s="8"/>
      <c r="J44" s="260"/>
      <c r="K44" s="261"/>
    </row>
    <row r="45" spans="1:11" ht="15" customHeight="1" x14ac:dyDescent="0.2">
      <c r="A45" s="16" t="s">
        <v>11</v>
      </c>
      <c r="B45" s="11"/>
      <c r="C45" s="2"/>
      <c r="D45" s="2"/>
      <c r="E45" s="2"/>
      <c r="F45" s="2"/>
      <c r="G45" s="2"/>
      <c r="H45" s="2"/>
      <c r="I45" s="45"/>
      <c r="J45" s="262"/>
      <c r="K45" s="263"/>
    </row>
    <row r="46" spans="1:11" ht="15" customHeight="1" x14ac:dyDescent="0.2">
      <c r="A46" s="18" t="s">
        <v>79</v>
      </c>
      <c r="B46" s="11" t="s">
        <v>18</v>
      </c>
      <c r="C46" s="24"/>
      <c r="D46" s="28"/>
      <c r="E46" s="28"/>
      <c r="F46" s="28"/>
      <c r="G46" s="28"/>
      <c r="H46" s="28"/>
      <c r="I46" s="5">
        <f>COUNTIFS(B46:H46,"&lt;&gt;空",B46:H46,"&lt;&gt;休",B46:H46,"&lt;&gt;調",B46:H46,"&lt;&gt;",B46:H46,"&lt;&gt;調整休")</f>
        <v>1</v>
      </c>
      <c r="J46" s="249">
        <f>SUM(COUNTIF(B46:H46,"9-14:30"))*(5)+(COUNTIF(B46:H46,"9-20"))*(10)+(COUNTIF(B46:H46,"9-19"))*(9)+(COUNTIF(B46:H46,"9-18"))*(8)+(COUNTIF(B46:H46,"9-17"))*(7.25)+(COUNTIF(B46:H46,"9-16"))*(6.25)+(COUNTIF(B46:H46,"9-15"))*(5.5)+(COUNTIF(B46:H46,"9-14"))*(4.5)+(COUNTIF(B46:H46,"9-13,17-20"))*(7)+(COUNTIF(B46:H46,"9-13"))*(4)+(COUNTIF(B46:H46,"9-12,18-20"))*(5)+(COUNTIF(B46:H46,"9-12,16-20"))*(7)+(COUNTIF(B46:H46,"9-12,16-19"))*(6)+(COUNTIF(B46:H46,"9-13,16-20"))*(6)+(COUNTIF(B46:H46,"9-12"))*(3)+(COUNTIF(B46:H46,"9-11:30"))*(2.5)+(COUNTIF(B46:H46,"9-11,16-19"))*(5)+(COUNTIF(B46:H46,"9-11"))*(2)+(COUNTIF(B46:H46,"9:30-11:30,16-19"))*(5)+(COUNTIF(B46:H46,"19-20"))*(1)+(COUNTIF(B46:H46,"17-20"))*(3)+(COUNTIF(B46:H46,"16-20"))*(4)+(COUNTIF(B46:H46,"15-20"))*(4.5)+(COUNTIF(B46:H46,"15-19"))*(4)+(COUNTIF(B46:H46,"14-20"))*(5.5)+(COUNTIF(B46:H46,"14-19"))*(4.5)+(COUNTIF(B46:H46,"14:30-20"))*(5)+(COUNTIF(B46:H46,"13-20"))*(6.25)+(COUNTIF(B46:H46,"13-19"))*(5.5)+(COUNTIF(B46:H46,"13-18"))*(4.5)+(COUNTIF(B46:H46,"13-17"))*(4)+(COUNTIF(B46:H46,"12-20"))*(7.25)+(COUNTIF(B46:H46,"10-20"))*(9)+(COUNTIF(B46:H46,"10-15"))*(4.5)+(COUNTIF(B46:H46,"12-18"))*(5.5)+(COUNTIF(B46:H46,"10-12,14-19"))*(6.5)+(COUNTIF(B46:H46,"10-14"))*(4)+(COUNTIF(B46:H46,"13:30-19"))*(5)+(COUNTIF(B46:H46,"14-17"))*(4)+(COUNTIF(B46:H46,"16-19"))*(4)+(COUNTIF(B46:H46,"13-16"))*(3)+(COUNTIF(B46:H46,"工場9:30-15"))*(5)+(COUNTIF(B46:H46,"工場9-15"))*(5.5)+(COUNTIF(B46:H46,"受9-/Y10-"))*(5.5)+(COUNTIF(B46:H46,"Y10-"))*(4.5)+(COUNTIF(B46:H46,"ﾏ安9-14"))*(4.5)</f>
        <v>4.5</v>
      </c>
      <c r="K46" s="250"/>
    </row>
    <row r="47" spans="1:11" ht="15" customHeight="1" x14ac:dyDescent="0.2">
      <c r="A47" s="19" t="s">
        <v>80</v>
      </c>
      <c r="B47" s="202" t="s">
        <v>136</v>
      </c>
      <c r="C47" s="2"/>
      <c r="D47" s="28"/>
      <c r="E47" s="28"/>
      <c r="F47" s="28"/>
      <c r="G47" s="28"/>
      <c r="H47" s="28"/>
      <c r="I47" s="5">
        <f>COUNTIFS(B47:H47,"&lt;&gt;空",B47:H47,"&lt;&gt;休",B47:H47,"&lt;&gt;調",B47:H47,"&lt;&gt;",B47:H47,"&lt;&gt;調整休")</f>
        <v>1</v>
      </c>
      <c r="J47" s="249">
        <f>SUM(COUNTIF(B47:H47,"9-14:30"))*(5)+(COUNTIF(B47:H47,"9-20"))*(10)+(COUNTIF(B47:H47,"9-19"))*(9)+(COUNTIF(B47:H47,"9-18"))*(8)+(COUNTIF(B47:H47,"9-17"))*(7.25)+(COUNTIF(B47:H47,"9-16"))*(6.25)+(COUNTIF(B47:H47,"9-15"))*(5.5)+(COUNTIF(B47:H47,"9-14"))*(4.5)+(COUNTIF(B47:H47,"9-13,17-20"))*(7)+(COUNTIF(B47:H47,"9-13"))*(4)+(COUNTIF(B47:H47,"9-12,18-20"))*(5)+(COUNTIF(B47:H47,"9-12,16-20"))*(7)+(COUNTIF(B47:H47,"9-12,16-19"))*(6)+(COUNTIF(B47:H47,"9-13,16-20"))*(6)+(COUNTIF(B47:H47,"9-12"))*(3)+(COUNTIF(B47:H47,"9-11:30"))*(2.5)+(COUNTIF(B47:H47,"9-11,16-19"))*(5)+(COUNTIF(B47:H47,"9-11"))*(2)+(COUNTIF(B47:H47,"9:30-11:30,16-19"))*(5)+(COUNTIF(B47:H47,"19-20"))*(1)+(COUNTIF(B47:H47,"17-20"))*(3)+(COUNTIF(B47:H47,"16-20"))*(4)+(COUNTIF(B47:H47,"15-20"))*(4.5)+(COUNTIF(B47:H47,"15-19"))*(4)+(COUNTIF(B47:H47,"14-20"))*(5.5)+(COUNTIF(B47:H47,"14-19"))*(4.5)+(COUNTIF(B47:H47,"14:30-20"))*(5)+(COUNTIF(B47:H47,"13-20"))*(6.25)+(COUNTIF(B47:H47,"13-19"))*(5.5)+(COUNTIF(B47:H47,"13-18"))*(4.5)+(COUNTIF(B47:H47,"13-17"))*(4)+(COUNTIF(B47:H47,"12-20"))*(7.25)+(COUNTIF(B47:H47,"10-20"))*(9)+(COUNTIF(B47:H47,"10-15"))*(4.5)+(COUNTIF(B47:H47,"12-18"))*(5.5)+(COUNTIF(B47:H47,"10-12,14-19"))*(6.5)+(COUNTIF(B47:H47,"10-14"))*(4)+(COUNTIF(B47:H47,"13:30-19"))*(5)+(COUNTIF(B47:H47,"14-17"))*(4)+(COUNTIF(B47:H47,"16-19"))*(4)+(COUNTIF(B47:H47,"13-16"))*(3)+(COUNTIF(B47:H47,"工場9:30-15"))*(5)+(COUNTIF(B47:H47,"工場9-15"))*(5.5)+(COUNTIF(B47:H47,"受9-/Y10-"))*(5.5)+(COUNTIF(B47:H47,"Y10-"))*(4.5)+(COUNTIF(B47:H47,"ﾏ安9-14"))*(4.5)</f>
        <v>4.5</v>
      </c>
      <c r="K47" s="250"/>
    </row>
    <row r="48" spans="1:11" ht="15" customHeight="1" x14ac:dyDescent="0.2">
      <c r="A48" s="19" t="s">
        <v>81</v>
      </c>
      <c r="B48" s="11" t="s">
        <v>19</v>
      </c>
      <c r="C48" s="32"/>
      <c r="D48" s="32"/>
      <c r="E48" s="32"/>
      <c r="F48" s="32"/>
      <c r="G48" s="32"/>
      <c r="H48" s="32"/>
      <c r="I48" s="5">
        <f t="shared" ref="I48:I51" si="8">COUNTIFS(B48:H48,"&lt;&gt;空",B48:H48,"&lt;&gt;休",B48:H48,"&lt;&gt;調",B48:H48,"&lt;&gt;",B48:H48,"&lt;&gt;調整休")</f>
        <v>1</v>
      </c>
      <c r="J48" s="249">
        <f t="shared" ref="J48:J51" si="9">SUM(COUNTIF(B48:H48,"9-14:30"))*(5)+(COUNTIF(B48:H48,"9-20"))*(10)+(COUNTIF(B48:H48,"9-19"))*(9)+(COUNTIF(B48:H48,"9-18"))*(8)+(COUNTIF(B48:H48,"9-17"))*(7.25)+(COUNTIF(B48:H48,"9-16"))*(6.25)+(COUNTIF(B48:H48,"9-15"))*(5.5)+(COUNTIF(B48:H48,"9-14"))*(4.5)+(COUNTIF(B48:H48,"9-13,17-20"))*(7)+(COUNTIF(B48:H48,"9-13"))*(4)+(COUNTIF(B48:H48,"9-12,18-20"))*(5)+(COUNTIF(B48:H48,"9-12,16-20"))*(7)+(COUNTIF(B48:H48,"9-12,16-19"))*(6)+(COUNTIF(B48:H48,"9-13,16-20"))*(6)+(COUNTIF(B48:H48,"9-12"))*(3)+(COUNTIF(B48:H48,"9-11:30"))*(2.5)+(COUNTIF(B48:H48,"9-11,16-19"))*(5)+(COUNTIF(B48:H48,"9-11"))*(2)+(COUNTIF(B48:H48,"9:30-11:30,16-19"))*(5)+(COUNTIF(B48:H48,"19-20"))*(1)+(COUNTIF(B48:H48,"17-20"))*(3)+(COUNTIF(B48:H48,"16-20"))*(4)+(COUNTIF(B48:H48,"15-20"))*(4.5)+(COUNTIF(B48:H48,"15-19"))*(4)+(COUNTIF(B48:H48,"14-20"))*(5.5)+(COUNTIF(B48:H48,"14-19"))*(4.5)+(COUNTIF(B48:H48,"14:30-20"))*(5)+(COUNTIF(B48:H48,"13-20"))*(6.25)+(COUNTIF(B48:H48,"13-19"))*(5.5)+(COUNTIF(B48:H48,"13-18"))*(4.5)+(COUNTIF(B48:H48,"13-17"))*(4)+(COUNTIF(B48:H48,"12-20"))*(7.25)+(COUNTIF(B48:H48,"10-20"))*(9)+(COUNTIF(B48:H48,"10-15"))*(4.5)+(COUNTIF(B48:H48,"12-18"))*(5.5)+(COUNTIF(B48:H48,"10-12,14-19"))*(6.5)+(COUNTIF(B48:H48,"10-14"))*(4)+(COUNTIF(B48:H48,"13:30-19"))*(5)+(COUNTIF(B48:H48,"14-17"))*(4)+(COUNTIF(B48:H48,"16-19"))*(4)+(COUNTIF(B48:H48,"13-16"))*(3)+(COUNTIF(B48:H48,"工場9:30-15"))*(5)+(COUNTIF(B48:H48,"工場9-15"))*(5.5)+(COUNTIF(B48:H48,"受9-/Y10-"))*(5.5)+(COUNTIF(B48:H48,"Y10-"))*(4.5)+(COUNTIF(B48:H48,"ﾏ安9-14"))*(4.5)</f>
        <v>4.5</v>
      </c>
      <c r="K48" s="250"/>
    </row>
    <row r="49" spans="1:14" ht="15" customHeight="1" x14ac:dyDescent="0.2">
      <c r="A49" s="41" t="s">
        <v>84</v>
      </c>
      <c r="B49" s="11" t="s">
        <v>18</v>
      </c>
      <c r="C49" s="32"/>
      <c r="D49" s="32"/>
      <c r="E49" s="32"/>
      <c r="F49" s="32"/>
      <c r="G49" s="32"/>
      <c r="H49" s="32"/>
      <c r="I49" s="5">
        <f t="shared" si="8"/>
        <v>1</v>
      </c>
      <c r="J49" s="249">
        <f t="shared" si="9"/>
        <v>4.5</v>
      </c>
      <c r="K49" s="250"/>
    </row>
    <row r="50" spans="1:14" ht="15" customHeight="1" x14ac:dyDescent="0.2">
      <c r="A50" s="19" t="s">
        <v>129</v>
      </c>
      <c r="B50" s="52"/>
      <c r="C50" s="32"/>
      <c r="D50" s="32"/>
      <c r="E50" s="32"/>
      <c r="F50" s="32"/>
      <c r="G50" s="32"/>
      <c r="H50" s="32"/>
      <c r="I50" s="5">
        <f t="shared" si="8"/>
        <v>0</v>
      </c>
      <c r="J50" s="249">
        <f t="shared" si="9"/>
        <v>0</v>
      </c>
      <c r="K50" s="250"/>
    </row>
    <row r="51" spans="1:14" ht="15" customHeight="1" x14ac:dyDescent="0.2">
      <c r="A51" s="19" t="s">
        <v>145</v>
      </c>
      <c r="B51" s="81"/>
      <c r="C51" s="32"/>
      <c r="D51" s="32"/>
      <c r="E51" s="32"/>
      <c r="F51" s="32"/>
      <c r="G51" s="32"/>
      <c r="H51" s="32"/>
      <c r="I51" s="5">
        <f t="shared" si="8"/>
        <v>0</v>
      </c>
      <c r="J51" s="249">
        <f t="shared" si="9"/>
        <v>0</v>
      </c>
      <c r="K51" s="250"/>
    </row>
    <row r="52" spans="1:14" ht="15" customHeight="1" x14ac:dyDescent="0.2">
      <c r="A52" s="79" t="s">
        <v>53</v>
      </c>
      <c r="B52" s="81"/>
      <c r="C52" s="32"/>
      <c r="D52" s="32"/>
      <c r="E52" s="32"/>
      <c r="F52" s="32"/>
      <c r="G52" s="32"/>
      <c r="H52" s="32"/>
      <c r="I52" s="80"/>
      <c r="J52" s="61"/>
      <c r="K52" s="62"/>
    </row>
    <row r="53" spans="1:14" ht="12" customHeight="1" x14ac:dyDescent="0.2">
      <c r="A53" s="35"/>
      <c r="B53" s="36"/>
      <c r="C53" s="36"/>
      <c r="D53" s="36"/>
      <c r="E53" s="36"/>
      <c r="F53" s="36"/>
      <c r="G53" s="36"/>
      <c r="H53" s="36"/>
      <c r="I53" s="269" t="s">
        <v>180</v>
      </c>
      <c r="J53" s="269"/>
      <c r="K53" s="269"/>
    </row>
    <row r="54" spans="1:14" ht="14.4" customHeight="1" x14ac:dyDescent="0.2">
      <c r="A54" s="270" t="s">
        <v>29</v>
      </c>
      <c r="B54" s="271"/>
      <c r="C54" s="12"/>
      <c r="D54" s="272" t="s">
        <v>26</v>
      </c>
      <c r="E54" s="272"/>
      <c r="H54" s="9"/>
      <c r="I54" s="9"/>
      <c r="M54" s="13"/>
      <c r="N54" s="14"/>
    </row>
    <row r="55" spans="1:14" ht="14.4" customHeight="1" x14ac:dyDescent="0.2">
      <c r="A55" s="265" t="s">
        <v>63</v>
      </c>
      <c r="B55" s="266"/>
      <c r="C55" s="267" t="s">
        <v>67</v>
      </c>
      <c r="D55" s="268"/>
      <c r="E55" s="268"/>
      <c r="F55" s="268"/>
      <c r="G55" s="268"/>
      <c r="H55" s="268"/>
      <c r="I55" s="268"/>
      <c r="J55" s="268"/>
      <c r="K55" s="268"/>
      <c r="M55" s="13"/>
      <c r="N55" s="14"/>
    </row>
    <row r="56" spans="1:14" ht="14.4" customHeight="1" x14ac:dyDescent="0.2">
      <c r="A56" s="265" t="s">
        <v>64</v>
      </c>
      <c r="B56" s="266"/>
      <c r="C56" s="267" t="s">
        <v>68</v>
      </c>
      <c r="D56" s="268"/>
      <c r="E56" s="268"/>
      <c r="F56" s="268"/>
      <c r="G56" s="268"/>
      <c r="H56" s="268"/>
      <c r="I56" s="268"/>
      <c r="J56" s="268"/>
      <c r="K56" s="268"/>
    </row>
    <row r="57" spans="1:14" ht="14.4" customHeight="1" x14ac:dyDescent="0.2">
      <c r="A57" s="64" t="s">
        <v>65</v>
      </c>
      <c r="B57" s="65"/>
      <c r="C57" s="282" t="s">
        <v>25</v>
      </c>
      <c r="D57" s="273"/>
      <c r="E57" s="273"/>
      <c r="F57" s="273"/>
      <c r="G57" s="273"/>
      <c r="H57" s="273"/>
      <c r="I57" s="273"/>
      <c r="J57" s="273"/>
      <c r="K57" s="273"/>
    </row>
    <row r="58" spans="1:14" ht="14.4" customHeight="1" x14ac:dyDescent="0.2">
      <c r="A58" s="64" t="s">
        <v>66</v>
      </c>
      <c r="B58" s="65"/>
      <c r="C58" s="66" t="s">
        <v>27</v>
      </c>
      <c r="D58" s="67"/>
      <c r="E58" s="67"/>
      <c r="F58" s="67"/>
      <c r="G58" s="67"/>
      <c r="H58" s="67"/>
      <c r="I58" s="67"/>
      <c r="J58" s="67"/>
      <c r="K58" s="67"/>
    </row>
    <row r="59" spans="1:14" ht="14.4" customHeight="1" x14ac:dyDescent="0.2">
      <c r="A59" s="285" t="s">
        <v>169</v>
      </c>
      <c r="B59" s="286"/>
      <c r="C59" s="282" t="s">
        <v>69</v>
      </c>
      <c r="D59" s="273"/>
      <c r="E59" s="273"/>
      <c r="F59" s="273"/>
      <c r="G59" s="273"/>
      <c r="H59" s="273"/>
      <c r="I59" s="273"/>
      <c r="J59" s="273"/>
      <c r="K59" s="273"/>
    </row>
    <row r="60" spans="1:14" ht="14.4" customHeight="1" x14ac:dyDescent="0.2">
      <c r="A60" s="274" t="s">
        <v>186</v>
      </c>
      <c r="B60" s="275"/>
      <c r="C60" s="67" t="s">
        <v>28</v>
      </c>
      <c r="D60" s="67"/>
      <c r="E60" s="67"/>
      <c r="F60" s="67"/>
      <c r="G60" s="67"/>
      <c r="H60" s="67"/>
      <c r="I60" s="67"/>
      <c r="J60" s="67"/>
      <c r="K60" s="67"/>
    </row>
    <row r="61" spans="1:14" ht="14.4" customHeight="1" x14ac:dyDescent="0.2">
      <c r="A61" s="276"/>
      <c r="B61" s="277"/>
      <c r="C61" s="273" t="s">
        <v>70</v>
      </c>
      <c r="D61" s="273"/>
      <c r="E61" s="273"/>
      <c r="F61" s="273"/>
      <c r="G61" s="273"/>
      <c r="H61" s="273"/>
      <c r="I61" s="273"/>
      <c r="J61" s="273"/>
      <c r="K61" s="273"/>
    </row>
    <row r="62" spans="1:14" ht="28.5" customHeight="1" x14ac:dyDescent="0.2">
      <c r="A62" s="278"/>
      <c r="B62" s="279"/>
      <c r="C62" s="280" t="s">
        <v>170</v>
      </c>
      <c r="D62" s="281"/>
      <c r="E62" s="281"/>
      <c r="F62" s="281"/>
      <c r="G62" s="281"/>
      <c r="H62" s="281"/>
      <c r="I62" s="281"/>
      <c r="J62" s="243"/>
      <c r="K62" s="243"/>
    </row>
  </sheetData>
  <mergeCells count="57">
    <mergeCell ref="A60:B62"/>
    <mergeCell ref="C61:K61"/>
    <mergeCell ref="C62:I62"/>
    <mergeCell ref="J50:K50"/>
    <mergeCell ref="J51:K51"/>
    <mergeCell ref="I53:K53"/>
    <mergeCell ref="A54:B54"/>
    <mergeCell ref="D54:E54"/>
    <mergeCell ref="A55:B55"/>
    <mergeCell ref="C55:K55"/>
    <mergeCell ref="A56:B56"/>
    <mergeCell ref="C56:K56"/>
    <mergeCell ref="C57:K57"/>
    <mergeCell ref="A59:B59"/>
    <mergeCell ref="C59:K59"/>
    <mergeCell ref="J49:K49"/>
    <mergeCell ref="J36:K36"/>
    <mergeCell ref="J37:K37"/>
    <mergeCell ref="J38:K38"/>
    <mergeCell ref="J39:K39"/>
    <mergeCell ref="J40:K40"/>
    <mergeCell ref="J41:K41"/>
    <mergeCell ref="J43:K44"/>
    <mergeCell ref="J45:K45"/>
    <mergeCell ref="J46:K46"/>
    <mergeCell ref="J47:K47"/>
    <mergeCell ref="J48:K48"/>
    <mergeCell ref="J35:K35"/>
    <mergeCell ref="J21:K21"/>
    <mergeCell ref="J23:K24"/>
    <mergeCell ref="F25:H25"/>
    <mergeCell ref="J25:K25"/>
    <mergeCell ref="J26:K26"/>
    <mergeCell ref="J27:K27"/>
    <mergeCell ref="J28:K28"/>
    <mergeCell ref="J29:K29"/>
    <mergeCell ref="J30:K30"/>
    <mergeCell ref="J31:K31"/>
    <mergeCell ref="J33:K34"/>
    <mergeCell ref="J20:K20"/>
    <mergeCell ref="J7:K7"/>
    <mergeCell ref="J8:K8"/>
    <mergeCell ref="J9:K9"/>
    <mergeCell ref="J10:K10"/>
    <mergeCell ref="J11:K11"/>
    <mergeCell ref="J13:K14"/>
    <mergeCell ref="J15:K15"/>
    <mergeCell ref="J16:K16"/>
    <mergeCell ref="J17:K17"/>
    <mergeCell ref="J18:K18"/>
    <mergeCell ref="J19:K19"/>
    <mergeCell ref="J6:K6"/>
    <mergeCell ref="B1:F1"/>
    <mergeCell ref="H1:K1"/>
    <mergeCell ref="I3:I4"/>
    <mergeCell ref="J3:K4"/>
    <mergeCell ref="J5:K5"/>
  </mergeCells>
  <phoneticPr fontId="13"/>
  <pageMargins left="0.39370078740157483" right="0.27559055118110237" top="0.31496062992125984" bottom="0.11811023622047245" header="0.51181102362204722" footer="0.51181102362204722"/>
  <pageSetup paperSize="9" scale="88"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2030A8CC-DF6C-4D1F-B49F-B0250B79E13B}">
          <x14:formula1>
            <xm:f>'F:\Users\clmiwa-three\Downloads\[《中村》新田・草加 エリア 仮シフト【12月16日～1月15日】.xlsx]参照データベース'!#REF!</xm:f>
          </x14:formula1>
          <xm:sqref>G1:G2 C38:D42 C48:H53 C18:D22 C8:D12 C28:D28 C29 C30:D32</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7E2693-3FC5-4003-A923-804692A02DC9}">
  <sheetPr>
    <tabColor theme="7" tint="0.59999389629810485"/>
  </sheetPr>
  <dimension ref="A1:K55"/>
  <sheetViews>
    <sheetView zoomScale="115" zoomScaleNormal="115" workbookViewId="0">
      <selection activeCell="N51" sqref="N51"/>
    </sheetView>
  </sheetViews>
  <sheetFormatPr defaultColWidth="9" defaultRowHeight="13.2" x14ac:dyDescent="0.2"/>
  <cols>
    <col min="1" max="1" width="11.6640625" style="93" customWidth="1"/>
    <col min="2" max="8" width="8.77734375" style="93" customWidth="1"/>
    <col min="9" max="9" width="8" style="93" customWidth="1"/>
    <col min="10" max="10" width="7.21875" style="120" customWidth="1"/>
    <col min="11" max="11" width="4.44140625" style="118" customWidth="1"/>
    <col min="12" max="16384" width="9" style="118"/>
  </cols>
  <sheetData>
    <row r="1" spans="1:11" ht="15" thickBot="1" x14ac:dyDescent="0.25">
      <c r="A1" s="53" t="s">
        <v>56</v>
      </c>
      <c r="B1" s="293" t="s">
        <v>167</v>
      </c>
      <c r="C1" s="293"/>
      <c r="D1" s="293"/>
      <c r="E1" s="293"/>
      <c r="F1" s="293"/>
      <c r="G1" s="294"/>
      <c r="H1" s="295" t="s">
        <v>98</v>
      </c>
      <c r="I1" s="296"/>
      <c r="J1" s="296"/>
      <c r="K1" s="297"/>
    </row>
    <row r="2" spans="1:11" ht="9" customHeight="1" x14ac:dyDescent="0.2">
      <c r="A2" s="119"/>
    </row>
    <row r="3" spans="1:11" s="121" customFormat="1" ht="15" customHeight="1" x14ac:dyDescent="0.2">
      <c r="A3" s="95" t="s">
        <v>0</v>
      </c>
      <c r="B3" s="116">
        <v>46174</v>
      </c>
      <c r="C3" s="116">
        <v>46175</v>
      </c>
      <c r="D3" s="116">
        <v>46176</v>
      </c>
      <c r="E3" s="116">
        <v>46177</v>
      </c>
      <c r="F3" s="116">
        <v>46178</v>
      </c>
      <c r="G3" s="116">
        <v>46179</v>
      </c>
      <c r="H3" s="116">
        <v>46180</v>
      </c>
      <c r="I3" s="298" t="s">
        <v>1</v>
      </c>
      <c r="J3" s="300" t="s">
        <v>2</v>
      </c>
      <c r="K3" s="301"/>
    </row>
    <row r="4" spans="1:11" s="122" customFormat="1" ht="15" customHeight="1" x14ac:dyDescent="0.2">
      <c r="A4" s="96" t="s">
        <v>3</v>
      </c>
      <c r="B4" s="98" t="s">
        <v>4</v>
      </c>
      <c r="C4" s="98" t="s">
        <v>5</v>
      </c>
      <c r="D4" s="98" t="s">
        <v>6</v>
      </c>
      <c r="E4" s="98" t="s">
        <v>7</v>
      </c>
      <c r="F4" s="98" t="s">
        <v>8</v>
      </c>
      <c r="G4" s="98" t="s">
        <v>9</v>
      </c>
      <c r="H4" s="99" t="s">
        <v>10</v>
      </c>
      <c r="I4" s="299"/>
      <c r="J4" s="300"/>
      <c r="K4" s="301"/>
    </row>
    <row r="5" spans="1:11" s="93" customFormat="1" ht="13.5" customHeight="1" x14ac:dyDescent="0.2">
      <c r="A5" s="131" t="s">
        <v>94</v>
      </c>
      <c r="B5" s="124">
        <v>4</v>
      </c>
      <c r="C5" s="124"/>
      <c r="D5" s="124"/>
      <c r="E5" s="95">
        <v>3</v>
      </c>
      <c r="F5" s="124">
        <v>3</v>
      </c>
      <c r="G5" s="95">
        <v>3</v>
      </c>
      <c r="H5" s="95">
        <v>2</v>
      </c>
      <c r="I5" s="125"/>
      <c r="J5" s="302"/>
      <c r="K5" s="303"/>
    </row>
    <row r="6" spans="1:11" ht="13.5" customHeight="1" x14ac:dyDescent="0.2">
      <c r="A6" s="126" t="s">
        <v>99</v>
      </c>
      <c r="B6" s="162"/>
      <c r="C6" s="164"/>
      <c r="D6" s="164"/>
      <c r="E6" s="162" t="s">
        <v>131</v>
      </c>
      <c r="F6" s="15"/>
      <c r="G6" s="163" t="s">
        <v>127</v>
      </c>
      <c r="H6" s="163" t="s">
        <v>127</v>
      </c>
      <c r="I6" s="128">
        <f>COUNTA(B6:H6)</f>
        <v>3</v>
      </c>
      <c r="J6" s="291">
        <f>SUM(COUNTIF(B6:H6,"10-"))*(4.5)+SUM(COUNTIF(B6:H6,"9:30-"))*(5)+SUM(COUNTIF(B6:H6,"9-16"))*(6.25)+SUM(COUNTIF(B6:H6,"9:30-15"))*(5)+SUM(COUNTIF(B6:H6,"10-16"))*(5.5)+SUM(COUNTIF(B6:H6,"10-14"))*(4)</f>
        <v>4.5</v>
      </c>
      <c r="K6" s="292"/>
    </row>
    <row r="7" spans="1:11" ht="13.5" customHeight="1" x14ac:dyDescent="0.2">
      <c r="A7" s="126" t="s">
        <v>100</v>
      </c>
      <c r="B7" s="162" t="s">
        <v>131</v>
      </c>
      <c r="C7" s="164"/>
      <c r="D7" s="164"/>
      <c r="E7" s="162"/>
      <c r="F7" s="162"/>
      <c r="G7" s="162" t="s">
        <v>131</v>
      </c>
      <c r="H7" s="162" t="s">
        <v>131</v>
      </c>
      <c r="I7" s="129">
        <f>COUNTA(B7:H7)</f>
        <v>3</v>
      </c>
      <c r="J7" s="291">
        <f>SUM(COUNTIF(B7:H7,"10-"))*(4.5)+SUM(COUNTIF(B7:H7,"9:30-"))*(5)+SUM(COUNTIF(B7:H7,"9-16"))*(6.25)+SUM(COUNTIF(B7:H7,"9:30-15"))*(5)+SUM(COUNTIF(B7:H7,"10-16"))*(5.5)+SUM(COUNTIF(B7:H7,"10-14"))*(4)</f>
        <v>13.5</v>
      </c>
      <c r="K7" s="292"/>
    </row>
    <row r="8" spans="1:11" ht="13.5" customHeight="1" x14ac:dyDescent="0.2">
      <c r="A8" s="126" t="s">
        <v>148</v>
      </c>
      <c r="B8" s="163" t="s">
        <v>20</v>
      </c>
      <c r="C8" s="164"/>
      <c r="D8" s="164"/>
      <c r="E8" s="163" t="s">
        <v>20</v>
      </c>
      <c r="F8" s="163" t="s">
        <v>20</v>
      </c>
      <c r="G8" s="165"/>
      <c r="H8" s="162"/>
      <c r="I8" s="129">
        <f>COUNTA(B8:H8)</f>
        <v>3</v>
      </c>
      <c r="J8" s="291">
        <f>SUM(COUNTIF(B8:H8,"9-15"))*(5.25)+SUM(COUNTIF(B8:H8,"10-15"))*(4.5)</f>
        <v>15.75</v>
      </c>
      <c r="K8" s="292"/>
    </row>
    <row r="9" spans="1:11" ht="13.5" customHeight="1" x14ac:dyDescent="0.2">
      <c r="A9" s="126" t="s">
        <v>101</v>
      </c>
      <c r="B9" s="169"/>
      <c r="C9" s="164"/>
      <c r="D9" s="164"/>
      <c r="E9" s="169"/>
      <c r="F9" s="162" t="s">
        <v>131</v>
      </c>
      <c r="G9" s="165" t="s">
        <v>102</v>
      </c>
      <c r="H9" s="162"/>
      <c r="I9" s="129">
        <f>COUNTA(B9:H9)</f>
        <v>2</v>
      </c>
      <c r="J9" s="291">
        <f>SUM(COUNTIF(B9:H9,"10-"))*(4.5)+SUM(COUNTIF(B9:H9,"9:30-"))*(5)+SUM(COUNTIF(B9:H9,"9-16"))*(6.25)+SUM(COUNTIF(B9:H9,"9:30-15"))*(5)+SUM(COUNTIF(B9:H9,"10-16"))*(5.5)+SUM(COUNTIF(B9:H9,"10-14"))*(4)+SUM(COUNTIF(B9:H9,"受付9-17"))*(7)+SUM(COUNTIF(B9:H9,"受付9-14"))*(4.5)</f>
        <v>11.5</v>
      </c>
      <c r="K9" s="292"/>
    </row>
    <row r="10" spans="1:11" ht="13.5" customHeight="1" x14ac:dyDescent="0.2">
      <c r="A10" s="58" t="s">
        <v>137</v>
      </c>
      <c r="B10" s="162" t="s">
        <v>131</v>
      </c>
      <c r="C10" s="172"/>
      <c r="D10" s="127"/>
      <c r="E10" s="162"/>
      <c r="F10" s="162" t="s">
        <v>131</v>
      </c>
      <c r="G10" s="169"/>
      <c r="H10" s="162"/>
      <c r="I10" s="129">
        <f t="shared" ref="I10:I11" si="0">COUNTA(B10:H10)</f>
        <v>2</v>
      </c>
      <c r="J10" s="291">
        <f>SUM(COUNTIF(B10:H10,"10-"))*(4.5)+SUM(COUNTIF(B10:H10,"9:30-"))*(5)+SUM(COUNTIF(B10:H10,"9-16"))*(6.25)+SUM(COUNTIF(B10:H10,"9:30-15"))*(5)+SUM(COUNTIF(B10:H10,"10-16"))*(5.5)+SUM(COUNTIF(B10:H10,"10-14"))*(4)</f>
        <v>9</v>
      </c>
      <c r="K10" s="292"/>
    </row>
    <row r="11" spans="1:11" ht="13.5" customHeight="1" x14ac:dyDescent="0.2">
      <c r="A11" s="58" t="s">
        <v>161</v>
      </c>
      <c r="B11" s="162" t="s">
        <v>131</v>
      </c>
      <c r="C11" s="172"/>
      <c r="D11" s="127"/>
      <c r="E11" s="162" t="s">
        <v>131</v>
      </c>
      <c r="F11" s="162"/>
      <c r="G11" s="162" t="s">
        <v>131</v>
      </c>
      <c r="H11" s="162"/>
      <c r="I11" s="129">
        <f t="shared" si="0"/>
        <v>3</v>
      </c>
      <c r="J11" s="291">
        <f>SUM(COUNTIF(B11:H11,"10-"))*(4.5)+SUM(COUNTIF(B11:H11,"9:30-"))*(5)+SUM(COUNTIF(B11:H11,"9-16"))*(6.25)+SUM(COUNTIF(B11:H11,"9:30-15"))*(5)+SUM(COUNTIF(B11:H11,"10-16"))*(5.5)+SUM(COUNTIF(B11:H11,"10-14"))*(4)</f>
        <v>13.5</v>
      </c>
      <c r="K11" s="292"/>
    </row>
    <row r="12" spans="1:11" ht="13.5" customHeight="1" x14ac:dyDescent="0.2">
      <c r="A12" s="216" t="s">
        <v>53</v>
      </c>
      <c r="B12" s="162"/>
      <c r="C12" s="172"/>
      <c r="D12" s="127"/>
      <c r="E12" s="162"/>
      <c r="F12" s="162"/>
      <c r="G12" s="162"/>
      <c r="H12" s="162"/>
      <c r="I12" s="129"/>
      <c r="J12" s="291"/>
      <c r="K12" s="292"/>
    </row>
    <row r="13" spans="1:11" s="121" customFormat="1" ht="15" customHeight="1" x14ac:dyDescent="0.2">
      <c r="A13" s="110" t="s">
        <v>0</v>
      </c>
      <c r="B13" s="111">
        <v>46181</v>
      </c>
      <c r="C13" s="111">
        <v>46182</v>
      </c>
      <c r="D13" s="111">
        <v>46183</v>
      </c>
      <c r="E13" s="111">
        <v>46184</v>
      </c>
      <c r="F13" s="111">
        <v>46185</v>
      </c>
      <c r="G13" s="111">
        <v>46186</v>
      </c>
      <c r="H13" s="111">
        <v>46187</v>
      </c>
      <c r="I13" s="298" t="s">
        <v>1</v>
      </c>
      <c r="J13" s="300" t="s">
        <v>2</v>
      </c>
      <c r="K13" s="301"/>
    </row>
    <row r="14" spans="1:11" s="122" customFormat="1" ht="15" customHeight="1" x14ac:dyDescent="0.2">
      <c r="A14" s="96" t="s">
        <v>3</v>
      </c>
      <c r="B14" s="98" t="s">
        <v>4</v>
      </c>
      <c r="C14" s="98" t="s">
        <v>5</v>
      </c>
      <c r="D14" s="98" t="s">
        <v>6</v>
      </c>
      <c r="E14" s="98" t="s">
        <v>7</v>
      </c>
      <c r="F14" s="98" t="s">
        <v>8</v>
      </c>
      <c r="G14" s="98" t="s">
        <v>9</v>
      </c>
      <c r="H14" s="99" t="s">
        <v>10</v>
      </c>
      <c r="I14" s="299"/>
      <c r="J14" s="300"/>
      <c r="K14" s="301"/>
    </row>
    <row r="15" spans="1:11" s="93" customFormat="1" ht="13.5" customHeight="1" x14ac:dyDescent="0.2">
      <c r="A15" s="123" t="s">
        <v>86</v>
      </c>
      <c r="B15" s="124">
        <v>4</v>
      </c>
      <c r="C15" s="124"/>
      <c r="D15" s="124"/>
      <c r="E15" s="95">
        <v>3</v>
      </c>
      <c r="F15" s="124">
        <v>3</v>
      </c>
      <c r="G15" s="95">
        <v>4</v>
      </c>
      <c r="H15" s="95">
        <v>3</v>
      </c>
      <c r="I15" s="125"/>
      <c r="J15" s="302"/>
      <c r="K15" s="303"/>
    </row>
    <row r="16" spans="1:11" s="93" customFormat="1" ht="13.5" customHeight="1" x14ac:dyDescent="0.2">
      <c r="A16" s="126" t="s">
        <v>99</v>
      </c>
      <c r="B16" s="162"/>
      <c r="C16" s="164"/>
      <c r="D16" s="164"/>
      <c r="E16" s="162" t="s">
        <v>131</v>
      </c>
      <c r="F16" s="15"/>
      <c r="G16" s="163" t="s">
        <v>127</v>
      </c>
      <c r="H16" s="163" t="s">
        <v>127</v>
      </c>
      <c r="I16" s="129">
        <f t="shared" ref="I16:I21" si="1">COUNTA(B16:H16)</f>
        <v>3</v>
      </c>
      <c r="J16" s="291">
        <f>SUM(COUNTIF(B16:H16,"10-"))*(4.5)+SUM(COUNTIF(B16:H16,"9:30-"))*(5)+SUM(COUNTIF(B16:H16,"9-16"))*(6.25)+SUM(COUNTIF(B16:H16,"9:30-15"))*(5)+SUM(COUNTIF(B16:H16,"10-16"))*(5.5)+SUM(COUNTIF(B16:H16,"10-14"))*(4)</f>
        <v>4.5</v>
      </c>
      <c r="K16" s="292"/>
    </row>
    <row r="17" spans="1:11" ht="13.5" customHeight="1" x14ac:dyDescent="0.2">
      <c r="A17" s="126" t="s">
        <v>100</v>
      </c>
      <c r="B17" s="162" t="s">
        <v>131</v>
      </c>
      <c r="C17" s="164"/>
      <c r="D17" s="164"/>
      <c r="E17" s="162"/>
      <c r="F17" s="162"/>
      <c r="G17" s="162" t="s">
        <v>131</v>
      </c>
      <c r="H17" s="162" t="s">
        <v>131</v>
      </c>
      <c r="I17" s="129">
        <f t="shared" si="1"/>
        <v>3</v>
      </c>
      <c r="J17" s="291">
        <f>SUM(COUNTIF(B17:H17,"10-"))*(4.5)+SUM(COUNTIF(B17:H17,"9:30-"))*(5)+SUM(COUNTIF(B17:H17,"9-16"))*(6.25)+SUM(COUNTIF(B17:H17,"9:30-15"))*(5)+SUM(COUNTIF(B17:H17,"10-16"))*(5.5)+SUM(COUNTIF(B17:H17,"10-14"))*(4)</f>
        <v>13.5</v>
      </c>
      <c r="K17" s="292"/>
    </row>
    <row r="18" spans="1:11" ht="13.5" customHeight="1" x14ac:dyDescent="0.2">
      <c r="A18" s="126" t="s">
        <v>148</v>
      </c>
      <c r="B18" s="163" t="s">
        <v>20</v>
      </c>
      <c r="C18" s="164"/>
      <c r="D18" s="164"/>
      <c r="E18" s="163" t="s">
        <v>20</v>
      </c>
      <c r="F18" s="163" t="s">
        <v>20</v>
      </c>
      <c r="G18" s="165"/>
      <c r="H18" s="163" t="s">
        <v>22</v>
      </c>
      <c r="I18" s="129">
        <f t="shared" si="1"/>
        <v>4</v>
      </c>
      <c r="J18" s="291">
        <f>SUM(COUNTIF(B18:H18,"9-15"))*(5.25)+SUM(COUNTIF(B18:H18,"10-15"))*(4.5)</f>
        <v>20.25</v>
      </c>
      <c r="K18" s="292"/>
    </row>
    <row r="19" spans="1:11" ht="13.5" customHeight="1" x14ac:dyDescent="0.2">
      <c r="A19" s="126" t="s">
        <v>101</v>
      </c>
      <c r="B19" s="165" t="s">
        <v>111</v>
      </c>
      <c r="C19" s="164"/>
      <c r="D19" s="164"/>
      <c r="E19" s="165" t="s">
        <v>102</v>
      </c>
      <c r="F19" s="162" t="s">
        <v>131</v>
      </c>
      <c r="G19" s="169"/>
      <c r="H19" s="162"/>
      <c r="I19" s="129">
        <f t="shared" si="1"/>
        <v>3</v>
      </c>
      <c r="J19" s="291">
        <f>SUM(COUNTIF(B19:H19,"10-"))*(4.5)+SUM(COUNTIF(B19:H19,"9:30-"))*(5)+SUM(COUNTIF(B19:H19,"9-16"))*(6.25)+SUM(COUNTIF(B19:H19,"9:30-15"))*(5)+SUM(COUNTIF(B19:H19,"10-16"))*(5.5)+SUM(COUNTIF(B19:H19,"10-14"))*(4)+SUM(COUNTIF(B19:H19,"受付9-17"))*(7)+SUM(COUNTIF(B19:H19,"受付9-14"))*(4.5)</f>
        <v>16</v>
      </c>
      <c r="K19" s="292"/>
    </row>
    <row r="20" spans="1:11" ht="13.5" customHeight="1" x14ac:dyDescent="0.2">
      <c r="A20" s="58" t="s">
        <v>137</v>
      </c>
      <c r="B20" s="162" t="s">
        <v>131</v>
      </c>
      <c r="C20" s="172"/>
      <c r="D20" s="127"/>
      <c r="E20" s="162"/>
      <c r="F20" s="162" t="s">
        <v>131</v>
      </c>
      <c r="G20" s="162" t="s">
        <v>131</v>
      </c>
      <c r="H20" s="162"/>
      <c r="I20" s="129">
        <f t="shared" si="1"/>
        <v>3</v>
      </c>
      <c r="J20" s="291">
        <f>SUM(COUNTIF(B20:H20,"10-"))*(4.5)+SUM(COUNTIF(B20:H20,"9:30-"))*(5)+SUM(COUNTIF(B20:H20,"9-16"))*(6.25)+SUM(COUNTIF(B20:H20,"9:30-15"))*(5)+SUM(COUNTIF(B20:H20,"10-16"))*(5.5)+SUM(COUNTIF(B20:H20,"10-14"))*(4)</f>
        <v>13.5</v>
      </c>
      <c r="K20" s="292"/>
    </row>
    <row r="21" spans="1:11" ht="13.5" customHeight="1" x14ac:dyDescent="0.2">
      <c r="A21" s="58" t="s">
        <v>161</v>
      </c>
      <c r="B21" s="162" t="s">
        <v>131</v>
      </c>
      <c r="C21" s="172"/>
      <c r="D21" s="127"/>
      <c r="E21" s="162" t="s">
        <v>131</v>
      </c>
      <c r="F21" s="162"/>
      <c r="G21" s="162" t="s">
        <v>131</v>
      </c>
      <c r="H21" s="162"/>
      <c r="I21" s="129">
        <f t="shared" si="1"/>
        <v>3</v>
      </c>
      <c r="J21" s="291">
        <f>SUM(COUNTIF(B21:H21,"10-"))*(4.5)+SUM(COUNTIF(B21:H21,"9:30-"))*(5)+SUM(COUNTIF(B21:H21,"9-16"))*(6.25)+SUM(COUNTIF(B21:H21,"9:30-15"))*(5)+SUM(COUNTIF(B21:H21,"10-16"))*(5.5)+SUM(COUNTIF(B21:H21,"10-14"))*(4)</f>
        <v>13.5</v>
      </c>
      <c r="K21" s="292"/>
    </row>
    <row r="22" spans="1:11" ht="13.5" customHeight="1" x14ac:dyDescent="0.2">
      <c r="A22" s="216" t="s">
        <v>53</v>
      </c>
      <c r="B22" s="162"/>
      <c r="C22" s="172"/>
      <c r="D22" s="127"/>
      <c r="E22" s="162"/>
      <c r="F22" s="162"/>
      <c r="G22" s="162"/>
      <c r="H22" s="162"/>
      <c r="I22" s="129"/>
      <c r="J22" s="291"/>
      <c r="K22" s="292"/>
    </row>
    <row r="23" spans="1:11" s="121" customFormat="1" ht="15" customHeight="1" x14ac:dyDescent="0.2">
      <c r="A23" s="95" t="s">
        <v>0</v>
      </c>
      <c r="B23" s="116">
        <v>46188</v>
      </c>
      <c r="C23" s="116">
        <v>46189</v>
      </c>
      <c r="D23" s="116">
        <v>46190</v>
      </c>
      <c r="E23" s="116">
        <v>46191</v>
      </c>
      <c r="F23" s="116">
        <v>46192</v>
      </c>
      <c r="G23" s="116">
        <v>46193</v>
      </c>
      <c r="H23" s="116">
        <v>46194</v>
      </c>
      <c r="I23" s="298" t="s">
        <v>1</v>
      </c>
      <c r="J23" s="300" t="s">
        <v>2</v>
      </c>
      <c r="K23" s="301"/>
    </row>
    <row r="24" spans="1:11" s="122" customFormat="1" ht="15" customHeight="1" x14ac:dyDescent="0.2">
      <c r="A24" s="96" t="s">
        <v>3</v>
      </c>
      <c r="B24" s="98" t="s">
        <v>4</v>
      </c>
      <c r="C24" s="98" t="s">
        <v>5</v>
      </c>
      <c r="D24" s="98" t="s">
        <v>6</v>
      </c>
      <c r="E24" s="98" t="s">
        <v>7</v>
      </c>
      <c r="F24" s="98" t="s">
        <v>8</v>
      </c>
      <c r="G24" s="98" t="s">
        <v>9</v>
      </c>
      <c r="H24" s="99" t="s">
        <v>10</v>
      </c>
      <c r="I24" s="299"/>
      <c r="J24" s="300"/>
      <c r="K24" s="301"/>
    </row>
    <row r="25" spans="1:11" s="93" customFormat="1" ht="14.25" customHeight="1" x14ac:dyDescent="0.2">
      <c r="A25" s="131" t="s">
        <v>94</v>
      </c>
      <c r="B25" s="124">
        <v>4</v>
      </c>
      <c r="C25" s="124"/>
      <c r="D25" s="124"/>
      <c r="E25" s="95">
        <v>3</v>
      </c>
      <c r="F25" s="124">
        <v>3</v>
      </c>
      <c r="G25" s="95">
        <v>4</v>
      </c>
      <c r="H25" s="95">
        <v>2</v>
      </c>
      <c r="I25" s="125"/>
      <c r="J25" s="302"/>
      <c r="K25" s="303"/>
    </row>
    <row r="26" spans="1:11" ht="13.5" customHeight="1" x14ac:dyDescent="0.2">
      <c r="A26" s="126" t="s">
        <v>99</v>
      </c>
      <c r="B26" s="162"/>
      <c r="C26" s="164"/>
      <c r="D26" s="164"/>
      <c r="E26" s="162" t="s">
        <v>131</v>
      </c>
      <c r="F26" s="15"/>
      <c r="G26" s="163" t="s">
        <v>127</v>
      </c>
      <c r="H26" s="169"/>
      <c r="I26" s="128">
        <f>COUNTA(B26:H26)</f>
        <v>2</v>
      </c>
      <c r="J26" s="291">
        <f>SUM(COUNTIF(B26:H26,"10-"))*(4.5)+SUM(COUNTIF(B26:H26,"9:30-"))*(5)+SUM(COUNTIF(B26:H26,"9-16"))*(6.25)+SUM(COUNTIF(B26:H26,"9:30-15"))*(5)+SUM(COUNTIF(B26:H26,"10-16"))*(5.5)+SUM(COUNTIF(B26:H26,"10-14"))*(4)</f>
        <v>4.5</v>
      </c>
      <c r="K26" s="292"/>
    </row>
    <row r="27" spans="1:11" ht="13.5" customHeight="1" x14ac:dyDescent="0.2">
      <c r="A27" s="126" t="s">
        <v>100</v>
      </c>
      <c r="B27" s="162" t="s">
        <v>131</v>
      </c>
      <c r="C27" s="164"/>
      <c r="D27" s="164"/>
      <c r="E27" s="162"/>
      <c r="F27" s="162"/>
      <c r="G27" s="162" t="s">
        <v>131</v>
      </c>
      <c r="H27" s="162" t="s">
        <v>131</v>
      </c>
      <c r="I27" s="129">
        <f t="shared" ref="I27:I31" si="2">COUNTA(B27:H27)</f>
        <v>3</v>
      </c>
      <c r="J27" s="291">
        <f>SUM(COUNTIF(B27:H27,"10-"))*(4.5)+SUM(COUNTIF(B27:H27,"9:30-"))*(5)+SUM(COUNTIF(B27:H27,"9-16"))*(6.25)+SUM(COUNTIF(B27:H27,"9:30-15"))*(5)+SUM(COUNTIF(B27:H27,"10-16"))*(5.5)+SUM(COUNTIF(B27:H27,"10-14"))*(4)</f>
        <v>13.5</v>
      </c>
      <c r="K27" s="292"/>
    </row>
    <row r="28" spans="1:11" ht="13.5" customHeight="1" x14ac:dyDescent="0.2">
      <c r="A28" s="126" t="s">
        <v>148</v>
      </c>
      <c r="B28" s="163" t="s">
        <v>20</v>
      </c>
      <c r="C28" s="164"/>
      <c r="D28" s="164"/>
      <c r="E28" s="163" t="s">
        <v>20</v>
      </c>
      <c r="F28" s="163" t="s">
        <v>20</v>
      </c>
      <c r="G28" s="165"/>
      <c r="H28" s="162"/>
      <c r="I28" s="129">
        <f t="shared" si="2"/>
        <v>3</v>
      </c>
      <c r="J28" s="291">
        <f>SUM(COUNTIF(B28:H28,"9-15"))*(5.25)+SUM(COUNTIF(B28:H28,"10-15"))*(4.5)</f>
        <v>15.75</v>
      </c>
      <c r="K28" s="292"/>
    </row>
    <row r="29" spans="1:11" ht="13.5" customHeight="1" x14ac:dyDescent="0.2">
      <c r="A29" s="126" t="s">
        <v>101</v>
      </c>
      <c r="B29" s="165" t="s">
        <v>111</v>
      </c>
      <c r="C29" s="164"/>
      <c r="D29" s="164"/>
      <c r="E29" s="165" t="s">
        <v>102</v>
      </c>
      <c r="F29" s="162" t="s">
        <v>131</v>
      </c>
      <c r="G29" s="165" t="s">
        <v>111</v>
      </c>
      <c r="H29" s="162"/>
      <c r="I29" s="129">
        <f t="shared" si="2"/>
        <v>4</v>
      </c>
      <c r="J29" s="291">
        <f>SUM(COUNTIF(B29:H29,"10-"))*(4.5)+SUM(COUNTIF(B29:H29,"9:30-"))*(5)+SUM(COUNTIF(B29:H29,"9-16"))*(6.25)+SUM(COUNTIF(B29:H29,"9:30-15"))*(5)+SUM(COUNTIF(B29:H29,"10-16"))*(5.5)+SUM(COUNTIF(B29:H29,"10-14"))*(4)+SUM(COUNTIF(B29:H29,"受付9-17"))*(7)+SUM(COUNTIF(B29:H29,"受付9-14"))*(4.5)</f>
        <v>20.5</v>
      </c>
      <c r="K29" s="292"/>
    </row>
    <row r="30" spans="1:11" ht="13.5" customHeight="1" x14ac:dyDescent="0.2">
      <c r="A30" s="58" t="s">
        <v>137</v>
      </c>
      <c r="B30" s="162" t="s">
        <v>131</v>
      </c>
      <c r="C30" s="172"/>
      <c r="D30" s="127"/>
      <c r="E30" s="162"/>
      <c r="F30" s="162" t="s">
        <v>131</v>
      </c>
      <c r="G30" s="162" t="s">
        <v>131</v>
      </c>
      <c r="H30" s="162"/>
      <c r="I30" s="129">
        <f t="shared" si="2"/>
        <v>3</v>
      </c>
      <c r="J30" s="291">
        <f>SUM(COUNTIF(B30:H30,"10-"))*(4.5)+SUM(COUNTIF(B30:H30,"9:30-"))*(5)+SUM(COUNTIF(B30:H30,"9-16"))*(6.25)+SUM(COUNTIF(B30:H30,"9:30-15"))*(5)+SUM(COUNTIF(B30:H30,"10-16"))*(5.5)+SUM(COUNTIF(B30:H30,"10-14"))*(4)</f>
        <v>13.5</v>
      </c>
      <c r="K30" s="292"/>
    </row>
    <row r="31" spans="1:11" ht="13.5" customHeight="1" x14ac:dyDescent="0.2">
      <c r="A31" s="58" t="s">
        <v>161</v>
      </c>
      <c r="B31" s="162" t="s">
        <v>131</v>
      </c>
      <c r="C31" s="172"/>
      <c r="D31" s="127"/>
      <c r="E31" s="162" t="s">
        <v>131</v>
      </c>
      <c r="F31" s="162"/>
      <c r="G31" s="162" t="s">
        <v>131</v>
      </c>
      <c r="H31" s="162" t="s">
        <v>131</v>
      </c>
      <c r="I31" s="129">
        <f t="shared" si="2"/>
        <v>4</v>
      </c>
      <c r="J31" s="291">
        <f>SUM(COUNTIF(B31:H31,"10-"))*(4.5)+SUM(COUNTIF(B31:H31,"9:30-"))*(5)+SUM(COUNTIF(B31:H31,"9-16"))*(6.25)+SUM(COUNTIF(B31:H31,"9:30-15"))*(5)+SUM(COUNTIF(B31:H31,"10-16"))*(5.5)+SUM(COUNTIF(B31:H31,"10-14"))*(4)</f>
        <v>18</v>
      </c>
      <c r="K31" s="292"/>
    </row>
    <row r="32" spans="1:11" ht="13.5" customHeight="1" x14ac:dyDescent="0.2">
      <c r="A32" s="216" t="s">
        <v>53</v>
      </c>
      <c r="B32" s="162"/>
      <c r="C32" s="172"/>
      <c r="D32" s="127"/>
      <c r="E32" s="162"/>
      <c r="F32" s="162"/>
      <c r="G32" s="162"/>
      <c r="H32" s="162"/>
      <c r="I32" s="129"/>
      <c r="J32" s="291"/>
      <c r="K32" s="292"/>
    </row>
    <row r="33" spans="1:11" s="121" customFormat="1" ht="15" customHeight="1" x14ac:dyDescent="0.2">
      <c r="A33" s="95" t="s">
        <v>0</v>
      </c>
      <c r="B33" s="116">
        <v>46195</v>
      </c>
      <c r="C33" s="116">
        <v>46196</v>
      </c>
      <c r="D33" s="116">
        <v>46197</v>
      </c>
      <c r="E33" s="116">
        <v>46198</v>
      </c>
      <c r="F33" s="116">
        <v>46199</v>
      </c>
      <c r="G33" s="116">
        <v>46200</v>
      </c>
      <c r="H33" s="116">
        <v>46201</v>
      </c>
      <c r="I33" s="298" t="s">
        <v>1</v>
      </c>
      <c r="J33" s="300" t="s">
        <v>2</v>
      </c>
      <c r="K33" s="301"/>
    </row>
    <row r="34" spans="1:11" s="122" customFormat="1" ht="15" customHeight="1" x14ac:dyDescent="0.2">
      <c r="A34" s="96" t="s">
        <v>3</v>
      </c>
      <c r="B34" s="98" t="s">
        <v>4</v>
      </c>
      <c r="C34" s="98" t="s">
        <v>5</v>
      </c>
      <c r="D34" s="98" t="s">
        <v>6</v>
      </c>
      <c r="E34" s="98" t="s">
        <v>7</v>
      </c>
      <c r="F34" s="98" t="s">
        <v>8</v>
      </c>
      <c r="G34" s="98" t="s">
        <v>9</v>
      </c>
      <c r="H34" s="99" t="s">
        <v>10</v>
      </c>
      <c r="I34" s="299"/>
      <c r="J34" s="300"/>
      <c r="K34" s="301"/>
    </row>
    <row r="35" spans="1:11" s="93" customFormat="1" ht="13.5" customHeight="1" x14ac:dyDescent="0.2">
      <c r="A35" s="123" t="s">
        <v>86</v>
      </c>
      <c r="B35" s="124">
        <v>4</v>
      </c>
      <c r="C35" s="124"/>
      <c r="D35" s="124"/>
      <c r="E35" s="95">
        <v>3</v>
      </c>
      <c r="F35" s="124">
        <v>3</v>
      </c>
      <c r="G35" s="95">
        <v>4</v>
      </c>
      <c r="H35" s="95">
        <v>3</v>
      </c>
      <c r="I35" s="125"/>
      <c r="J35" s="302"/>
      <c r="K35" s="303"/>
    </row>
    <row r="36" spans="1:11" ht="13.5" customHeight="1" x14ac:dyDescent="0.2">
      <c r="A36" s="126" t="s">
        <v>99</v>
      </c>
      <c r="B36" s="162"/>
      <c r="C36" s="164"/>
      <c r="D36" s="164"/>
      <c r="E36" s="162" t="s">
        <v>131</v>
      </c>
      <c r="F36" s="15"/>
      <c r="G36" s="163" t="s">
        <v>127</v>
      </c>
      <c r="H36" s="163" t="s">
        <v>127</v>
      </c>
      <c r="I36" s="128">
        <f>COUNTA(B36:H36)</f>
        <v>3</v>
      </c>
      <c r="J36" s="291">
        <f>SUM(COUNTIF(B36:H36,"10-"))*(4.5)+SUM(COUNTIF(B36:H36,"9:30-"))*(5)+SUM(COUNTIF(B36:H36,"9-16"))*(6.25)+SUM(COUNTIF(B36:H36,"9:30-15"))*(5)+SUM(COUNTIF(B36:H36,"10-16"))*(5.5)+SUM(COUNTIF(B36:H36,"10-14"))*(4)</f>
        <v>4.5</v>
      </c>
      <c r="K36" s="292"/>
    </row>
    <row r="37" spans="1:11" s="93" customFormat="1" ht="13.5" customHeight="1" x14ac:dyDescent="0.2">
      <c r="A37" s="126" t="s">
        <v>100</v>
      </c>
      <c r="B37" s="162" t="s">
        <v>131</v>
      </c>
      <c r="C37" s="164"/>
      <c r="D37" s="164"/>
      <c r="E37" s="162"/>
      <c r="F37" s="162"/>
      <c r="G37" s="162" t="s">
        <v>131</v>
      </c>
      <c r="H37" s="162" t="s">
        <v>131</v>
      </c>
      <c r="I37" s="129">
        <f t="shared" ref="I37:I41" si="3">COUNTA(B37:H37)</f>
        <v>3</v>
      </c>
      <c r="J37" s="291">
        <f>SUM(COUNTIF(B37:H37,"10-"))*(4.5)+SUM(COUNTIF(B37:H37,"9:30-"))*(5)+SUM(COUNTIF(B37:H37,"9-16"))*(6.25)+SUM(COUNTIF(B37:H37,"9:30-15"))*(5)+SUM(COUNTIF(B37:H37,"10-16"))*(5.5)+SUM(COUNTIF(B37:H37,"10-14"))*(4)</f>
        <v>13.5</v>
      </c>
      <c r="K37" s="292"/>
    </row>
    <row r="38" spans="1:11" ht="13.5" customHeight="1" x14ac:dyDescent="0.2">
      <c r="A38" s="126" t="s">
        <v>148</v>
      </c>
      <c r="B38" s="163" t="s">
        <v>20</v>
      </c>
      <c r="C38" s="164"/>
      <c r="D38" s="164"/>
      <c r="E38" s="163" t="s">
        <v>20</v>
      </c>
      <c r="F38" s="163" t="s">
        <v>20</v>
      </c>
      <c r="G38" s="165"/>
      <c r="H38" s="163" t="s">
        <v>22</v>
      </c>
      <c r="I38" s="129">
        <f t="shared" si="3"/>
        <v>4</v>
      </c>
      <c r="J38" s="291">
        <f>SUM(COUNTIF(B38:H38,"9-15"))*(5.25)+SUM(COUNTIF(B38:H38,"10-15"))*(4.5)</f>
        <v>20.25</v>
      </c>
      <c r="K38" s="292"/>
    </row>
    <row r="39" spans="1:11" ht="13.5" customHeight="1" x14ac:dyDescent="0.2">
      <c r="A39" s="126" t="s">
        <v>101</v>
      </c>
      <c r="B39" s="165" t="s">
        <v>111</v>
      </c>
      <c r="C39" s="164"/>
      <c r="D39" s="164"/>
      <c r="E39" s="165" t="s">
        <v>102</v>
      </c>
      <c r="F39" s="162" t="s">
        <v>131</v>
      </c>
      <c r="G39" s="165" t="s">
        <v>111</v>
      </c>
      <c r="H39" s="162"/>
      <c r="I39" s="129">
        <f t="shared" si="3"/>
        <v>4</v>
      </c>
      <c r="J39" s="291">
        <f>SUM(COUNTIF(B39:H39,"10-"))*(4.5)+SUM(COUNTIF(B39:H39,"9:30-"))*(5)+SUM(COUNTIF(B39:H39,"9-16"))*(6.25)+SUM(COUNTIF(B39:H39,"9:30-15"))*(5)+SUM(COUNTIF(B39:H39,"10-16"))*(5.5)+SUM(COUNTIF(B39:H39,"10-14"))*(4)+SUM(COUNTIF(B39:H39,"受付9-17"))*(7)+SUM(COUNTIF(B39:H39,"受付9-14"))*(4.5)</f>
        <v>20.5</v>
      </c>
      <c r="K39" s="292"/>
    </row>
    <row r="40" spans="1:11" ht="13.5" customHeight="1" x14ac:dyDescent="0.2">
      <c r="A40" s="58" t="s">
        <v>137</v>
      </c>
      <c r="B40" s="162" t="s">
        <v>131</v>
      </c>
      <c r="C40" s="172"/>
      <c r="D40" s="127"/>
      <c r="E40" s="162"/>
      <c r="F40" s="162" t="s">
        <v>131</v>
      </c>
      <c r="G40" s="162" t="s">
        <v>131</v>
      </c>
      <c r="H40" s="162"/>
      <c r="I40" s="129">
        <f t="shared" si="3"/>
        <v>3</v>
      </c>
      <c r="J40" s="291">
        <f>SUM(COUNTIF(B40:H40,"10-"))*(4.5)+SUM(COUNTIF(B40:H40,"9:30-"))*(5)+SUM(COUNTIF(B40:H40,"9-16"))*(6.25)+SUM(COUNTIF(B40:H40,"9:30-15"))*(5)+SUM(COUNTIF(B40:H40,"10-16"))*(5.5)+SUM(COUNTIF(B40:H40,"10-14"))*(4)</f>
        <v>13.5</v>
      </c>
      <c r="K40" s="292"/>
    </row>
    <row r="41" spans="1:11" ht="13.5" customHeight="1" x14ac:dyDescent="0.2">
      <c r="A41" s="58" t="s">
        <v>161</v>
      </c>
      <c r="B41" s="162" t="s">
        <v>131</v>
      </c>
      <c r="C41" s="172"/>
      <c r="D41" s="127"/>
      <c r="E41" s="162" t="s">
        <v>131</v>
      </c>
      <c r="F41" s="162"/>
      <c r="G41" s="162" t="s">
        <v>131</v>
      </c>
      <c r="H41" s="162"/>
      <c r="I41" s="129">
        <f t="shared" si="3"/>
        <v>3</v>
      </c>
      <c r="J41" s="291">
        <f>SUM(COUNTIF(B41:H41,"10-"))*(4.5)+SUM(COUNTIF(B41:H41,"9:30-"))*(5)+SUM(COUNTIF(B41:H41,"9-16"))*(6.25)+SUM(COUNTIF(B41:H41,"9:30-15"))*(5)+SUM(COUNTIF(B41:H41,"10-16"))*(5.5)+SUM(COUNTIF(B41:H41,"10-14"))*(4)</f>
        <v>13.5</v>
      </c>
      <c r="K41" s="292"/>
    </row>
    <row r="42" spans="1:11" ht="13.5" customHeight="1" x14ac:dyDescent="0.2">
      <c r="A42" s="216" t="s">
        <v>53</v>
      </c>
      <c r="B42" s="162"/>
      <c r="C42" s="130"/>
      <c r="D42" s="127"/>
      <c r="E42" s="162"/>
      <c r="F42" s="162"/>
      <c r="G42" s="162"/>
      <c r="H42" s="162"/>
      <c r="I42" s="129"/>
      <c r="J42" s="291"/>
      <c r="K42" s="292"/>
    </row>
    <row r="43" spans="1:11" s="121" customFormat="1" ht="15" customHeight="1" x14ac:dyDescent="0.2">
      <c r="A43" s="110" t="s">
        <v>0</v>
      </c>
      <c r="B43" s="111">
        <v>46202</v>
      </c>
      <c r="C43" s="111">
        <v>46203</v>
      </c>
      <c r="D43" s="111"/>
      <c r="E43" s="111"/>
      <c r="F43" s="111"/>
      <c r="G43" s="111"/>
      <c r="H43" s="111"/>
      <c r="I43" s="298" t="s">
        <v>1</v>
      </c>
      <c r="J43" s="300" t="s">
        <v>2</v>
      </c>
      <c r="K43" s="301"/>
    </row>
    <row r="44" spans="1:11" s="122" customFormat="1" ht="15" customHeight="1" x14ac:dyDescent="0.2">
      <c r="A44" s="96" t="s">
        <v>3</v>
      </c>
      <c r="B44" s="98" t="s">
        <v>4</v>
      </c>
      <c r="C44" s="98" t="s">
        <v>5</v>
      </c>
      <c r="D44" s="214"/>
      <c r="E44" s="214"/>
      <c r="F44" s="214"/>
      <c r="G44" s="214"/>
      <c r="H44" s="214"/>
      <c r="I44" s="299"/>
      <c r="J44" s="300"/>
      <c r="K44" s="301"/>
    </row>
    <row r="45" spans="1:11" s="93" customFormat="1" ht="13.5" customHeight="1" x14ac:dyDescent="0.2">
      <c r="A45" s="131" t="s">
        <v>94</v>
      </c>
      <c r="B45" s="124">
        <v>4</v>
      </c>
      <c r="C45" s="124"/>
      <c r="D45" s="124"/>
      <c r="E45" s="124"/>
      <c r="F45" s="124"/>
      <c r="G45" s="124"/>
      <c r="H45" s="124"/>
      <c r="I45" s="125"/>
      <c r="J45" s="302"/>
      <c r="K45" s="303"/>
    </row>
    <row r="46" spans="1:11" ht="13.5" customHeight="1" x14ac:dyDescent="0.2">
      <c r="A46" s="126" t="s">
        <v>99</v>
      </c>
      <c r="B46" s="162"/>
      <c r="C46" s="164"/>
      <c r="D46" s="164"/>
      <c r="E46" s="164"/>
      <c r="F46" s="164"/>
      <c r="G46" s="164"/>
      <c r="H46" s="164"/>
      <c r="I46" s="128">
        <f>COUNTA(B46:H46)</f>
        <v>0</v>
      </c>
      <c r="J46" s="291">
        <f>SUM(COUNTIF(B46:H46,"10-"))*(4.5)+SUM(COUNTIF(B46:H46,"9:30-"))*(5)+SUM(COUNTIF(B46:H46,"9-16"))*(6.25)+SUM(COUNTIF(B46:H46,"9:30-15"))*(5)+SUM(COUNTIF(B46:H46,"10-16"))*(5.5)+SUM(COUNTIF(B46:H46,"10-14"))*(4)</f>
        <v>0</v>
      </c>
      <c r="K46" s="292"/>
    </row>
    <row r="47" spans="1:11" ht="13.5" customHeight="1" x14ac:dyDescent="0.2">
      <c r="A47" s="126" t="s">
        <v>100</v>
      </c>
      <c r="B47" s="162" t="s">
        <v>131</v>
      </c>
      <c r="C47" s="164"/>
      <c r="D47" s="164"/>
      <c r="E47" s="164"/>
      <c r="F47" s="164"/>
      <c r="G47" s="164"/>
      <c r="H47" s="164"/>
      <c r="I47" s="129">
        <f t="shared" ref="I47:I48" si="4">COUNTA(B47:H47)</f>
        <v>1</v>
      </c>
      <c r="J47" s="291">
        <f>SUM(COUNTIF(B47:H47,"10-"))*(4.5)+SUM(COUNTIF(B47:H47,"9:30-"))*(5)+SUM(COUNTIF(B47:H47,"9-16"))*(6.25)+SUM(COUNTIF(B47:H47,"9:30-15"))*(5)+SUM(COUNTIF(B47:H47,"10-16"))*(5.5)+SUM(COUNTIF(B47:H47,"10-14"))*(4)</f>
        <v>4.5</v>
      </c>
      <c r="K47" s="292"/>
    </row>
    <row r="48" spans="1:11" ht="13.5" customHeight="1" x14ac:dyDescent="0.2">
      <c r="A48" s="126" t="s">
        <v>148</v>
      </c>
      <c r="B48" s="163" t="s">
        <v>20</v>
      </c>
      <c r="C48" s="164"/>
      <c r="D48" s="164"/>
      <c r="E48" s="164"/>
      <c r="F48" s="164"/>
      <c r="G48" s="164"/>
      <c r="H48" s="164"/>
      <c r="I48" s="129">
        <f t="shared" si="4"/>
        <v>1</v>
      </c>
      <c r="J48" s="291">
        <f>SUM(COUNTIF(B48:H48,"9-15"))*(5.25)+SUM(COUNTIF(B48:H48,"10-15"))*(4.5)</f>
        <v>5.25</v>
      </c>
      <c r="K48" s="292"/>
    </row>
    <row r="49" spans="1:11" ht="13.5" customHeight="1" x14ac:dyDescent="0.2">
      <c r="A49" s="126" t="s">
        <v>101</v>
      </c>
      <c r="B49" s="165" t="s">
        <v>111</v>
      </c>
      <c r="C49" s="164"/>
      <c r="D49" s="164"/>
      <c r="E49" s="164"/>
      <c r="F49" s="164"/>
      <c r="G49" s="164"/>
      <c r="H49" s="164"/>
      <c r="I49" s="129">
        <f>COUNTA(B49:H49)</f>
        <v>1</v>
      </c>
      <c r="J49" s="291">
        <f>SUM(COUNTIF(B49:H49,"10-"))*(4.5)+SUM(COUNTIF(B49:H49,"9:30-"))*(5)+SUM(COUNTIF(B49:H49,"9-16"))*(6.25)+SUM(COUNTIF(B49:H49,"9:30-15"))*(5)+SUM(COUNTIF(B49:H49,"10-16"))*(5.5)+SUM(COUNTIF(B49:H49,"10-14"))*(4)+SUM(COUNTIF(B49:H49,"受付9-17"))*(7)+SUM(COUNTIF(B49:H49,"受付9-14"))*(4.5)</f>
        <v>4.5</v>
      </c>
      <c r="K49" s="292"/>
    </row>
    <row r="50" spans="1:11" ht="13.5" customHeight="1" x14ac:dyDescent="0.2">
      <c r="A50" s="58" t="s">
        <v>137</v>
      </c>
      <c r="B50" s="162" t="s">
        <v>131</v>
      </c>
      <c r="C50" s="172"/>
      <c r="D50" s="127"/>
      <c r="E50" s="127"/>
      <c r="F50" s="127"/>
      <c r="G50" s="127"/>
      <c r="H50" s="127"/>
      <c r="I50" s="129">
        <f t="shared" ref="I50:I51" si="5">COUNTA(B50:H50)</f>
        <v>1</v>
      </c>
      <c r="J50" s="291">
        <f>SUM(COUNTIF(B50:H50,"10-"))*(4.5)+SUM(COUNTIF(B50:H50,"9:30-"))*(5)+SUM(COUNTIF(B50:H50,"9-16"))*(6.25)+SUM(COUNTIF(B50:H50,"9:30-15"))*(5)+SUM(COUNTIF(B50:H50,"10-16"))*(5.5)+SUM(COUNTIF(B50:H50,"10-14"))*(4)</f>
        <v>4.5</v>
      </c>
      <c r="K50" s="292"/>
    </row>
    <row r="51" spans="1:11" ht="13.5" customHeight="1" x14ac:dyDescent="0.2">
      <c r="A51" s="58" t="s">
        <v>161</v>
      </c>
      <c r="B51" s="162" t="s">
        <v>131</v>
      </c>
      <c r="C51" s="172"/>
      <c r="D51" s="127"/>
      <c r="E51" s="127"/>
      <c r="F51" s="127"/>
      <c r="G51" s="127"/>
      <c r="H51" s="127"/>
      <c r="I51" s="129">
        <f t="shared" si="5"/>
        <v>1</v>
      </c>
      <c r="J51" s="291">
        <f>SUM(COUNTIF(B51:H51,"10-"))*(4.5)+SUM(COUNTIF(B51:H51,"9:30-"))*(5)+SUM(COUNTIF(B51:H51,"9-16"))*(6.25)+SUM(COUNTIF(B51:H51,"9:30-15"))*(5)+SUM(COUNTIF(B51:H51,"10-16"))*(5.5)+SUM(COUNTIF(B51:H51,"10-14"))*(4)</f>
        <v>4.5</v>
      </c>
      <c r="K51" s="292"/>
    </row>
    <row r="52" spans="1:11" ht="13.5" customHeight="1" x14ac:dyDescent="0.2">
      <c r="A52" s="216" t="s">
        <v>53</v>
      </c>
      <c r="B52" s="162"/>
      <c r="C52" s="172"/>
      <c r="D52" s="127"/>
      <c r="E52" s="127"/>
      <c r="F52" s="127"/>
      <c r="G52" s="127"/>
      <c r="H52" s="127"/>
      <c r="I52" s="129"/>
      <c r="J52" s="291"/>
      <c r="K52" s="292"/>
    </row>
    <row r="53" spans="1:11" ht="7.5" customHeight="1" x14ac:dyDescent="0.2">
      <c r="A53" s="132"/>
      <c r="B53" s="133"/>
      <c r="C53" s="133"/>
      <c r="D53" s="133"/>
      <c r="E53" s="133"/>
      <c r="F53" s="133"/>
      <c r="G53" s="133"/>
      <c r="H53" s="133"/>
      <c r="I53" s="134"/>
      <c r="J53" s="314" t="s">
        <v>189</v>
      </c>
      <c r="K53" s="314"/>
    </row>
    <row r="54" spans="1:11" s="1" customFormat="1" ht="18" customHeight="1" x14ac:dyDescent="0.2">
      <c r="A54" s="304" t="s">
        <v>95</v>
      </c>
      <c r="B54" s="305"/>
      <c r="C54" s="308" t="s">
        <v>103</v>
      </c>
      <c r="D54" s="309"/>
      <c r="E54" s="309"/>
      <c r="F54" s="309" t="s">
        <v>97</v>
      </c>
      <c r="G54" s="309"/>
      <c r="H54" s="310"/>
      <c r="I54" s="9"/>
      <c r="J54" s="315"/>
      <c r="K54" s="315"/>
    </row>
    <row r="55" spans="1:11" s="1" customFormat="1" ht="18" customHeight="1" x14ac:dyDescent="0.15">
      <c r="A55" s="306"/>
      <c r="B55" s="307"/>
      <c r="C55" s="311" t="s">
        <v>104</v>
      </c>
      <c r="D55" s="312"/>
      <c r="E55" s="312"/>
      <c r="F55" s="312" t="s">
        <v>105</v>
      </c>
      <c r="G55" s="312"/>
      <c r="H55" s="313"/>
      <c r="I55" s="135"/>
      <c r="J55" s="135"/>
      <c r="K55" s="135"/>
    </row>
  </sheetData>
  <mergeCells count="58">
    <mergeCell ref="J49:K49"/>
    <mergeCell ref="J50:K50"/>
    <mergeCell ref="J51:K51"/>
    <mergeCell ref="J52:K52"/>
    <mergeCell ref="J53:K54"/>
    <mergeCell ref="A54:B55"/>
    <mergeCell ref="C54:E54"/>
    <mergeCell ref="F54:H54"/>
    <mergeCell ref="C55:E55"/>
    <mergeCell ref="F55:H55"/>
    <mergeCell ref="I33:I34"/>
    <mergeCell ref="J33:K34"/>
    <mergeCell ref="J35:K35"/>
    <mergeCell ref="J48:K48"/>
    <mergeCell ref="J37:K37"/>
    <mergeCell ref="J38:K38"/>
    <mergeCell ref="J39:K39"/>
    <mergeCell ref="J40:K40"/>
    <mergeCell ref="J41:K41"/>
    <mergeCell ref="J42:K42"/>
    <mergeCell ref="I43:I44"/>
    <mergeCell ref="J43:K44"/>
    <mergeCell ref="J45:K45"/>
    <mergeCell ref="J46:K46"/>
    <mergeCell ref="J47:K47"/>
    <mergeCell ref="J36:K36"/>
    <mergeCell ref="J25:K25"/>
    <mergeCell ref="J26:K26"/>
    <mergeCell ref="J27:K27"/>
    <mergeCell ref="J28:K28"/>
    <mergeCell ref="J29:K29"/>
    <mergeCell ref="J30:K30"/>
    <mergeCell ref="J31:K31"/>
    <mergeCell ref="J32:K32"/>
    <mergeCell ref="J19:K19"/>
    <mergeCell ref="J20:K20"/>
    <mergeCell ref="J21:K21"/>
    <mergeCell ref="J22:K22"/>
    <mergeCell ref="I23:I24"/>
    <mergeCell ref="J23:K24"/>
    <mergeCell ref="I13:I14"/>
    <mergeCell ref="J13:K14"/>
    <mergeCell ref="J15:K15"/>
    <mergeCell ref="J16:K16"/>
    <mergeCell ref="J17:K17"/>
    <mergeCell ref="J18:K18"/>
    <mergeCell ref="J7:K7"/>
    <mergeCell ref="J8:K8"/>
    <mergeCell ref="J9:K9"/>
    <mergeCell ref="J10:K10"/>
    <mergeCell ref="J11:K11"/>
    <mergeCell ref="J12:K12"/>
    <mergeCell ref="J6:K6"/>
    <mergeCell ref="B1:G1"/>
    <mergeCell ref="H1:K1"/>
    <mergeCell ref="I3:I4"/>
    <mergeCell ref="J3:K4"/>
    <mergeCell ref="J5:K5"/>
  </mergeCells>
  <phoneticPr fontId="13"/>
  <pageMargins left="0.51181102362204722" right="0.51181102362204722" top="0.15748031496062992" bottom="0.15748031496062992" header="0.31496062992125984" footer="0.31496062992125984"/>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689E5E-F5E7-4F37-BBF8-6A9D2C9BD9AD}">
  <sheetPr>
    <tabColor theme="7" tint="0.59999389629810485"/>
    <pageSetUpPr fitToPage="1"/>
  </sheetPr>
  <dimension ref="A1:K53"/>
  <sheetViews>
    <sheetView zoomScale="85" zoomScaleNormal="85" workbookViewId="0">
      <selection activeCell="P44" sqref="P44"/>
    </sheetView>
  </sheetViews>
  <sheetFormatPr defaultColWidth="9" defaultRowHeight="16.5" customHeight="1" x14ac:dyDescent="0.2"/>
  <cols>
    <col min="1" max="1" width="11.44140625" style="1" customWidth="1"/>
    <col min="2" max="8" width="9.6640625" style="13" customWidth="1"/>
    <col min="9" max="9" width="7.6640625" style="1" customWidth="1"/>
    <col min="10" max="10" width="8.33203125" style="1" customWidth="1"/>
    <col min="11" max="11" width="2.33203125" style="1" customWidth="1"/>
    <col min="12" max="16384" width="9" style="1"/>
  </cols>
  <sheetData>
    <row r="1" spans="1:11" ht="16.5" customHeight="1" thickBot="1" x14ac:dyDescent="0.25">
      <c r="A1" s="53" t="s">
        <v>56</v>
      </c>
      <c r="B1" s="251" t="s">
        <v>167</v>
      </c>
      <c r="C1" s="251"/>
      <c r="D1" s="251"/>
      <c r="E1" s="251"/>
      <c r="F1" s="251"/>
      <c r="H1" s="316" t="s">
        <v>115</v>
      </c>
      <c r="I1" s="317"/>
      <c r="J1" s="317"/>
      <c r="K1" s="318"/>
    </row>
    <row r="2" spans="1:11" ht="8.4" customHeight="1" x14ac:dyDescent="0.2">
      <c r="A2" s="13"/>
      <c r="I2" s="13"/>
      <c r="J2" s="3"/>
      <c r="K2" s="4"/>
    </row>
    <row r="3" spans="1:11" ht="19.5" customHeight="1" x14ac:dyDescent="0.2">
      <c r="A3" s="319" t="s">
        <v>153</v>
      </c>
      <c r="B3" s="319"/>
      <c r="C3" s="319"/>
      <c r="D3" s="320"/>
      <c r="E3" s="320"/>
      <c r="F3" s="320"/>
      <c r="G3" s="320"/>
      <c r="H3" s="320"/>
      <c r="I3" s="320"/>
      <c r="J3" s="3"/>
      <c r="K3" s="4"/>
    </row>
    <row r="4" spans="1:11" ht="16.5" customHeight="1" x14ac:dyDescent="0.2">
      <c r="A4" s="21" t="s">
        <v>0</v>
      </c>
      <c r="B4" s="22">
        <v>46174</v>
      </c>
      <c r="C4" s="22">
        <v>46175</v>
      </c>
      <c r="D4" s="22">
        <v>46176</v>
      </c>
      <c r="E4" s="22">
        <v>46177</v>
      </c>
      <c r="F4" s="22">
        <v>46178</v>
      </c>
      <c r="G4" s="22">
        <v>46179</v>
      </c>
      <c r="H4" s="22">
        <v>46180</v>
      </c>
      <c r="I4" s="256" t="s">
        <v>1</v>
      </c>
      <c r="J4" s="258" t="s">
        <v>2</v>
      </c>
      <c r="K4" s="259"/>
    </row>
    <row r="5" spans="1:11" ht="16.5" customHeight="1" x14ac:dyDescent="0.2">
      <c r="A5" s="21" t="s">
        <v>3</v>
      </c>
      <c r="B5" s="2" t="s">
        <v>4</v>
      </c>
      <c r="C5" s="20" t="s">
        <v>5</v>
      </c>
      <c r="D5" s="20" t="s">
        <v>6</v>
      </c>
      <c r="E5" s="2" t="s">
        <v>7</v>
      </c>
      <c r="F5" s="2" t="s">
        <v>8</v>
      </c>
      <c r="G5" s="2" t="s">
        <v>9</v>
      </c>
      <c r="H5" s="23" t="s">
        <v>10</v>
      </c>
      <c r="I5" s="257"/>
      <c r="J5" s="260"/>
      <c r="K5" s="261"/>
    </row>
    <row r="6" spans="1:11" ht="18" customHeight="1" x14ac:dyDescent="0.2">
      <c r="A6" s="16" t="s">
        <v>11</v>
      </c>
      <c r="B6" s="11"/>
      <c r="C6" s="10"/>
      <c r="D6" s="10"/>
      <c r="E6" s="11"/>
      <c r="F6" s="11"/>
      <c r="G6" s="11"/>
      <c r="H6" s="11"/>
      <c r="I6" s="5"/>
      <c r="J6" s="249"/>
      <c r="K6" s="250"/>
    </row>
    <row r="7" spans="1:11" ht="17.25" customHeight="1" x14ac:dyDescent="0.2">
      <c r="A7" s="19" t="s">
        <v>116</v>
      </c>
      <c r="B7" s="181" t="s">
        <v>19</v>
      </c>
      <c r="C7" s="183"/>
      <c r="D7" s="183"/>
      <c r="E7" s="181"/>
      <c r="F7" s="181" t="s">
        <v>173</v>
      </c>
      <c r="G7" s="173"/>
      <c r="H7" s="181" t="s">
        <v>19</v>
      </c>
      <c r="I7" s="5">
        <f t="shared" ref="I7:I11" si="0">COUNTIFS(B7:H7,"&lt;&gt;空",B7:H7,"&lt;&gt;休",B7:H7,"&lt;&gt;調",B7:H7,"&lt;&gt;",B7:H7,"&lt;&gt;調整休")</f>
        <v>3</v>
      </c>
      <c r="J7" s="321">
        <f>SUM(COUNTIF(B7:H7,"9-14"))*(5)+(COUNTIF(B7:H7,"14-19"))*(5)+(COUNTIF(B7:H7,"13-18"))*(5)+(COUNTIF(B7:H7,"13-19"))*(5.25)+(COUNTIF(B7:H7,"13-17"))*(4)+(COUNTIF(B7:H7,"12-16"))*(4)+(COUNTIF(B7:H7,"9-15"))*(5.25)+(COUNTIF(B7:H7,"東9-14"))*(4.5)</f>
        <v>15</v>
      </c>
      <c r="K7" s="322"/>
    </row>
    <row r="8" spans="1:11" ht="17.25" customHeight="1" x14ac:dyDescent="0.2">
      <c r="A8" s="19" t="s">
        <v>72</v>
      </c>
      <c r="B8" s="181"/>
      <c r="C8" s="183"/>
      <c r="D8" s="183"/>
      <c r="E8" s="181" t="s">
        <v>82</v>
      </c>
      <c r="F8" s="181" t="s">
        <v>18</v>
      </c>
      <c r="G8" s="181" t="s">
        <v>173</v>
      </c>
      <c r="H8" s="181" t="s">
        <v>173</v>
      </c>
      <c r="I8" s="5">
        <f t="shared" si="0"/>
        <v>4</v>
      </c>
      <c r="J8" s="321">
        <f t="shared" ref="J8:J9" si="1">SUM(COUNTIF(B8:H8,"9-14"))*(4.5)+(COUNTIF(B8:H8,"14-19"))*(4.5)+(COUNTIF(B8:H8,"13-18"))*(5)+(COUNTIF(B8:H8,"13-19"))*(5.25)+(COUNTIF(B8:H8,"13-17"))*(4)+(COUNTIF(B8:H8,"12-16"))*(4)+(COUNTIF(B8:H8,"9-15"))*(5.25)+(COUNTIF(B8:H8,"東9-14"))*(4.5)+(COUNTIF(B8:H8,"9-13"))*(4)</f>
        <v>18.5</v>
      </c>
      <c r="K8" s="322"/>
    </row>
    <row r="9" spans="1:11" ht="17.25" customHeight="1" x14ac:dyDescent="0.2">
      <c r="A9" s="19" t="s">
        <v>138</v>
      </c>
      <c r="B9" s="181"/>
      <c r="C9" s="183"/>
      <c r="D9" s="183"/>
      <c r="E9" s="181" t="s">
        <v>19</v>
      </c>
      <c r="F9" s="181"/>
      <c r="G9" s="181" t="s">
        <v>19</v>
      </c>
      <c r="H9" s="181" t="s">
        <v>18</v>
      </c>
      <c r="I9" s="5">
        <f t="shared" si="0"/>
        <v>3</v>
      </c>
      <c r="J9" s="321">
        <f t="shared" si="1"/>
        <v>13.5</v>
      </c>
      <c r="K9" s="322"/>
    </row>
    <row r="10" spans="1:11" ht="17.25" customHeight="1" x14ac:dyDescent="0.2">
      <c r="A10" s="19" t="s">
        <v>152</v>
      </c>
      <c r="B10" s="181" t="s">
        <v>143</v>
      </c>
      <c r="C10" s="183"/>
      <c r="D10" s="183"/>
      <c r="E10" s="181" t="s">
        <v>58</v>
      </c>
      <c r="F10" s="181" t="s">
        <v>19</v>
      </c>
      <c r="G10" s="181" t="s">
        <v>18</v>
      </c>
      <c r="H10" s="181"/>
      <c r="I10" s="5">
        <f t="shared" si="0"/>
        <v>4</v>
      </c>
      <c r="J10" s="321">
        <v>16.5</v>
      </c>
      <c r="K10" s="322"/>
    </row>
    <row r="11" spans="1:11" ht="17.25" customHeight="1" x14ac:dyDescent="0.2">
      <c r="A11" s="19" t="s">
        <v>139</v>
      </c>
      <c r="B11" s="181" t="s">
        <v>18</v>
      </c>
      <c r="C11" s="183"/>
      <c r="D11" s="183"/>
      <c r="E11" s="232" t="s">
        <v>184</v>
      </c>
      <c r="F11" s="232" t="s">
        <v>135</v>
      </c>
      <c r="G11" s="230"/>
      <c r="H11" s="230"/>
      <c r="I11" s="5">
        <f t="shared" si="0"/>
        <v>3</v>
      </c>
      <c r="J11" s="321">
        <v>16</v>
      </c>
      <c r="K11" s="322"/>
    </row>
    <row r="12" spans="1:11" ht="17.25" customHeight="1" x14ac:dyDescent="0.2">
      <c r="A12" s="27" t="s">
        <v>53</v>
      </c>
      <c r="B12" s="181"/>
      <c r="C12" s="183"/>
      <c r="D12" s="183"/>
      <c r="E12" s="181"/>
      <c r="F12" s="181"/>
      <c r="G12" s="173"/>
      <c r="H12" s="181"/>
      <c r="I12" s="5"/>
      <c r="J12" s="61"/>
      <c r="K12" s="62"/>
    </row>
    <row r="13" spans="1:11" ht="16.5" customHeight="1" x14ac:dyDescent="0.2">
      <c r="A13" s="29" t="s">
        <v>0</v>
      </c>
      <c r="B13" s="46">
        <v>46181</v>
      </c>
      <c r="C13" s="46">
        <v>46182</v>
      </c>
      <c r="D13" s="46">
        <v>46183</v>
      </c>
      <c r="E13" s="46">
        <v>46184</v>
      </c>
      <c r="F13" s="46">
        <v>46185</v>
      </c>
      <c r="G13" s="46">
        <v>46186</v>
      </c>
      <c r="H13" s="46">
        <v>46187</v>
      </c>
      <c r="I13" s="256" t="s">
        <v>1</v>
      </c>
      <c r="J13" s="258" t="s">
        <v>2</v>
      </c>
      <c r="K13" s="259"/>
    </row>
    <row r="14" spans="1:11" ht="16.5" customHeight="1" x14ac:dyDescent="0.2">
      <c r="A14" s="21" t="s">
        <v>3</v>
      </c>
      <c r="B14" s="2" t="s">
        <v>4</v>
      </c>
      <c r="C14" s="20" t="s">
        <v>5</v>
      </c>
      <c r="D14" s="20" t="s">
        <v>6</v>
      </c>
      <c r="E14" s="2" t="s">
        <v>7</v>
      </c>
      <c r="F14" s="2" t="s">
        <v>8</v>
      </c>
      <c r="G14" s="2" t="s">
        <v>9</v>
      </c>
      <c r="H14" s="23" t="s">
        <v>10</v>
      </c>
      <c r="I14" s="257"/>
      <c r="J14" s="260"/>
      <c r="K14" s="261"/>
    </row>
    <row r="15" spans="1:11" ht="18" customHeight="1" x14ac:dyDescent="0.2">
      <c r="A15" s="16" t="s">
        <v>12</v>
      </c>
      <c r="B15" s="11"/>
      <c r="C15" s="10"/>
      <c r="D15" s="10"/>
      <c r="E15" s="11"/>
      <c r="F15" s="11"/>
      <c r="G15" s="11"/>
      <c r="H15" s="11"/>
      <c r="I15" s="5"/>
      <c r="J15" s="249"/>
      <c r="K15" s="250"/>
    </row>
    <row r="16" spans="1:11" ht="17.25" customHeight="1" x14ac:dyDescent="0.2">
      <c r="A16" s="19" t="s">
        <v>116</v>
      </c>
      <c r="B16" s="181" t="s">
        <v>19</v>
      </c>
      <c r="C16" s="183"/>
      <c r="D16" s="183"/>
      <c r="E16" s="181"/>
      <c r="F16" s="181" t="s">
        <v>173</v>
      </c>
      <c r="G16" s="173"/>
      <c r="H16" s="181" t="s">
        <v>43</v>
      </c>
      <c r="I16" s="5">
        <f t="shared" ref="I16:I20" si="2">COUNTIFS(B16:H16,"&lt;&gt;空",B16:H16,"&lt;&gt;休",B16:H16,"&lt;&gt;調",B16:H16,"&lt;&gt;",B16:H16,"&lt;&gt;調整休")</f>
        <v>3</v>
      </c>
      <c r="J16" s="321">
        <f>SUM(COUNTIF(B16:H16,"9-14"))*(5)+(COUNTIF(B16:H16,"14-19"))*(5)+(COUNTIF(B16:H16,"13-18"))*(5)+(COUNTIF(B16:H16,"13-19"))*(5.25)+(COUNTIF(B16:H16,"13-17"))*(4)+(COUNTIF(B16:H16,"12-16"))*(4)+(COUNTIF(B16:H16,"9-15"))*(5.25)+(COUNTIF(B16:H16,"東9-14"))*(4.5)</f>
        <v>15.25</v>
      </c>
      <c r="K16" s="322"/>
    </row>
    <row r="17" spans="1:11" ht="17.25" customHeight="1" x14ac:dyDescent="0.2">
      <c r="A17" s="19" t="s">
        <v>72</v>
      </c>
      <c r="B17" s="181"/>
      <c r="C17" s="183"/>
      <c r="D17" s="183"/>
      <c r="E17" s="181" t="s">
        <v>82</v>
      </c>
      <c r="F17" s="181" t="s">
        <v>18</v>
      </c>
      <c r="G17" s="181" t="s">
        <v>173</v>
      </c>
      <c r="H17" s="181" t="s">
        <v>20</v>
      </c>
      <c r="I17" s="5">
        <f t="shared" si="2"/>
        <v>4</v>
      </c>
      <c r="J17" s="321">
        <f t="shared" ref="J17:J18" si="3">SUM(COUNTIF(B17:H17,"9-14"))*(4.5)+(COUNTIF(B17:H17,"14-19"))*(4.5)+(COUNTIF(B17:H17,"13-18"))*(5)+(COUNTIF(B17:H17,"13-19"))*(5.25)+(COUNTIF(B17:H17,"13-17"))*(4)+(COUNTIF(B17:H17,"12-16"))*(4)+(COUNTIF(B17:H17,"9-15"))*(5.25)+(COUNTIF(B17:H17,"東9-14"))*(4.5)+(COUNTIF(B17:H17,"9-13"))*(4)</f>
        <v>18.75</v>
      </c>
      <c r="K17" s="322"/>
    </row>
    <row r="18" spans="1:11" ht="17.25" customHeight="1" x14ac:dyDescent="0.2">
      <c r="A18" s="19" t="s">
        <v>138</v>
      </c>
      <c r="B18" s="181"/>
      <c r="C18" s="183"/>
      <c r="D18" s="183"/>
      <c r="E18" s="181" t="s">
        <v>19</v>
      </c>
      <c r="F18" s="181"/>
      <c r="G18" s="181" t="s">
        <v>19</v>
      </c>
      <c r="H18" s="182"/>
      <c r="I18" s="5">
        <f t="shared" si="2"/>
        <v>2</v>
      </c>
      <c r="J18" s="321">
        <f t="shared" si="3"/>
        <v>9</v>
      </c>
      <c r="K18" s="322"/>
    </row>
    <row r="19" spans="1:11" ht="17.25" customHeight="1" x14ac:dyDescent="0.2">
      <c r="A19" s="19" t="s">
        <v>152</v>
      </c>
      <c r="B19" s="181" t="s">
        <v>143</v>
      </c>
      <c r="C19" s="183"/>
      <c r="D19" s="183"/>
      <c r="E19" s="181"/>
      <c r="F19" s="181" t="s">
        <v>19</v>
      </c>
      <c r="G19" s="181" t="s">
        <v>18</v>
      </c>
      <c r="H19" s="181"/>
      <c r="I19" s="5">
        <f t="shared" si="2"/>
        <v>3</v>
      </c>
      <c r="J19" s="321">
        <v>13.5</v>
      </c>
      <c r="K19" s="322"/>
    </row>
    <row r="20" spans="1:11" ht="17.25" customHeight="1" x14ac:dyDescent="0.2">
      <c r="A20" s="19" t="s">
        <v>139</v>
      </c>
      <c r="B20" s="181" t="s">
        <v>18</v>
      </c>
      <c r="C20" s="183"/>
      <c r="D20" s="183"/>
      <c r="E20" s="181" t="s">
        <v>18</v>
      </c>
      <c r="F20" s="232" t="s">
        <v>135</v>
      </c>
      <c r="G20" s="232" t="s">
        <v>187</v>
      </c>
      <c r="H20" s="232" t="s">
        <v>187</v>
      </c>
      <c r="I20" s="5">
        <f t="shared" si="2"/>
        <v>5</v>
      </c>
      <c r="J20" s="321">
        <v>21.5</v>
      </c>
      <c r="K20" s="322"/>
    </row>
    <row r="21" spans="1:11" ht="17.25" customHeight="1" x14ac:dyDescent="0.2">
      <c r="A21" s="27" t="s">
        <v>53</v>
      </c>
      <c r="B21" s="181"/>
      <c r="C21" s="183"/>
      <c r="D21" s="183"/>
      <c r="E21" s="181"/>
      <c r="F21" s="181"/>
      <c r="G21" s="173"/>
      <c r="H21" s="181"/>
      <c r="I21" s="5"/>
      <c r="J21" s="61"/>
      <c r="K21" s="62"/>
    </row>
    <row r="22" spans="1:11" ht="16.5" customHeight="1" x14ac:dyDescent="0.2">
      <c r="A22" s="21" t="s">
        <v>0</v>
      </c>
      <c r="B22" s="22">
        <v>46188</v>
      </c>
      <c r="C22" s="22">
        <v>46189</v>
      </c>
      <c r="D22" s="22">
        <v>46190</v>
      </c>
      <c r="E22" s="22">
        <v>46191</v>
      </c>
      <c r="F22" s="22">
        <v>46192</v>
      </c>
      <c r="G22" s="22">
        <v>46193</v>
      </c>
      <c r="H22" s="22">
        <v>46194</v>
      </c>
      <c r="I22" s="256" t="s">
        <v>1</v>
      </c>
      <c r="J22" s="258" t="s">
        <v>2</v>
      </c>
      <c r="K22" s="259"/>
    </row>
    <row r="23" spans="1:11" ht="16.5" customHeight="1" x14ac:dyDescent="0.2">
      <c r="A23" s="21" t="s">
        <v>3</v>
      </c>
      <c r="B23" s="2" t="s">
        <v>4</v>
      </c>
      <c r="C23" s="20" t="s">
        <v>5</v>
      </c>
      <c r="D23" s="20" t="s">
        <v>6</v>
      </c>
      <c r="E23" s="2" t="s">
        <v>7</v>
      </c>
      <c r="F23" s="2" t="s">
        <v>8</v>
      </c>
      <c r="G23" s="2" t="s">
        <v>9</v>
      </c>
      <c r="H23" s="23" t="s">
        <v>10</v>
      </c>
      <c r="I23" s="257"/>
      <c r="J23" s="260"/>
      <c r="K23" s="261"/>
    </row>
    <row r="24" spans="1:11" ht="18" customHeight="1" x14ac:dyDescent="0.2">
      <c r="A24" s="16" t="s">
        <v>11</v>
      </c>
      <c r="B24" s="11"/>
      <c r="C24" s="10"/>
      <c r="D24" s="10"/>
      <c r="E24" s="11"/>
      <c r="F24" s="264" t="s">
        <v>50</v>
      </c>
      <c r="G24" s="264"/>
      <c r="H24" s="264"/>
      <c r="I24" s="5"/>
      <c r="J24" s="323"/>
      <c r="K24" s="250"/>
    </row>
    <row r="25" spans="1:11" ht="17.25" customHeight="1" x14ac:dyDescent="0.2">
      <c r="A25" s="19" t="s">
        <v>116</v>
      </c>
      <c r="B25" s="181" t="s">
        <v>19</v>
      </c>
      <c r="C25" s="183"/>
      <c r="D25" s="183"/>
      <c r="E25" s="181"/>
      <c r="F25" s="181" t="s">
        <v>19</v>
      </c>
      <c r="G25" s="173"/>
      <c r="H25" s="181" t="s">
        <v>19</v>
      </c>
      <c r="I25" s="5">
        <f t="shared" ref="I25:I29" si="4">COUNTIFS(B25:H25,"&lt;&gt;空",B25:H25,"&lt;&gt;休",B25:H25,"&lt;&gt;調",B25:H25,"&lt;&gt;",B25:H25,"&lt;&gt;調整休")</f>
        <v>3</v>
      </c>
      <c r="J25" s="321">
        <f>SUM(COUNTIF(B25:H25,"9-14"))*(5)+(COUNTIF(B25:H25,"14-19"))*(5)+(COUNTIF(B25:H25,"13-18"))*(5)+(COUNTIF(B25:H25,"13-19"))*(5.25)+(COUNTIF(B25:H25,"13-17"))*(4)+(COUNTIF(B25:H25,"12-16"))*(4)+(COUNTIF(B25:H25,"9-15"))*(5.25)+(COUNTIF(B25:H25,"東9-14"))*(4.5)</f>
        <v>15</v>
      </c>
      <c r="K25" s="322"/>
    </row>
    <row r="26" spans="1:11" ht="17.25" customHeight="1" x14ac:dyDescent="0.2">
      <c r="A26" s="19" t="s">
        <v>72</v>
      </c>
      <c r="B26" s="181"/>
      <c r="C26" s="183"/>
      <c r="D26" s="183"/>
      <c r="E26" s="181"/>
      <c r="F26" s="181" t="s">
        <v>18</v>
      </c>
      <c r="G26" s="181" t="s">
        <v>173</v>
      </c>
      <c r="H26" s="181" t="s">
        <v>173</v>
      </c>
      <c r="I26" s="5">
        <f t="shared" si="4"/>
        <v>3</v>
      </c>
      <c r="J26" s="321">
        <v>13.5</v>
      </c>
      <c r="K26" s="322"/>
    </row>
    <row r="27" spans="1:11" ht="17.25" customHeight="1" x14ac:dyDescent="0.2">
      <c r="A27" s="19" t="s">
        <v>138</v>
      </c>
      <c r="B27" s="181" t="s">
        <v>143</v>
      </c>
      <c r="C27" s="183"/>
      <c r="D27" s="183"/>
      <c r="E27" s="181" t="s">
        <v>19</v>
      </c>
      <c r="F27" s="181"/>
      <c r="G27" s="181" t="s">
        <v>19</v>
      </c>
      <c r="H27" s="182"/>
      <c r="I27" s="5">
        <f t="shared" si="4"/>
        <v>3</v>
      </c>
      <c r="J27" s="321">
        <v>13.5</v>
      </c>
      <c r="K27" s="322"/>
    </row>
    <row r="28" spans="1:11" ht="17.25" customHeight="1" x14ac:dyDescent="0.2">
      <c r="A28" s="19" t="s">
        <v>152</v>
      </c>
      <c r="B28" s="182"/>
      <c r="C28" s="183"/>
      <c r="D28" s="183"/>
      <c r="E28" s="181" t="s">
        <v>143</v>
      </c>
      <c r="F28" s="181" t="s">
        <v>173</v>
      </c>
      <c r="G28" s="181" t="s">
        <v>18</v>
      </c>
      <c r="H28" s="181" t="s">
        <v>21</v>
      </c>
      <c r="I28" s="5">
        <f t="shared" si="4"/>
        <v>4</v>
      </c>
      <c r="J28" s="321">
        <v>17.5</v>
      </c>
      <c r="K28" s="322"/>
    </row>
    <row r="29" spans="1:11" ht="17.25" customHeight="1" x14ac:dyDescent="0.2">
      <c r="A29" s="19" t="s">
        <v>139</v>
      </c>
      <c r="B29" s="181" t="s">
        <v>18</v>
      </c>
      <c r="C29" s="183"/>
      <c r="D29" s="183"/>
      <c r="E29" s="181" t="s">
        <v>18</v>
      </c>
      <c r="F29" s="232" t="s">
        <v>135</v>
      </c>
      <c r="G29" s="181"/>
      <c r="H29" s="230"/>
      <c r="I29" s="5">
        <f t="shared" si="4"/>
        <v>3</v>
      </c>
      <c r="J29" s="321">
        <f>SUM(COUNTIF(B29:H29,"9-14"))*(4.5)+(COUNTIF(B29:H29,"14-19"))*(4.5)+(COUNTIF(B29:H29,"13-18"))*(5)+(COUNTIF(B29:H29,"13-19"))*(5.25)+(COUNTIF(B29:H29,"13-17"))*(4)+(COUNTIF(B29:H29,"12-16"))*(4)+(COUNTIF(B29:H29,"9-15"))*(5.25)+(COUNTIF(B29:H29,"東9-14"))*(4.5)+(COUNTIF(B29:H29,"9-13"))*(4)</f>
        <v>13.5</v>
      </c>
      <c r="K29" s="322"/>
    </row>
    <row r="30" spans="1:11" ht="17.25" customHeight="1" x14ac:dyDescent="0.2">
      <c r="A30" s="27" t="s">
        <v>53</v>
      </c>
      <c r="B30" s="181"/>
      <c r="C30" s="183"/>
      <c r="D30" s="183"/>
      <c r="E30" s="181"/>
      <c r="F30" s="181"/>
      <c r="G30" s="173"/>
      <c r="H30" s="181"/>
      <c r="I30" s="5"/>
      <c r="J30" s="61"/>
      <c r="K30" s="62"/>
    </row>
    <row r="31" spans="1:11" ht="16.5" customHeight="1" x14ac:dyDescent="0.2">
      <c r="A31" s="21" t="s">
        <v>0</v>
      </c>
      <c r="B31" s="60">
        <v>46195</v>
      </c>
      <c r="C31" s="60">
        <v>46196</v>
      </c>
      <c r="D31" s="60">
        <v>46197</v>
      </c>
      <c r="E31" s="60">
        <v>46198</v>
      </c>
      <c r="F31" s="60">
        <v>46199</v>
      </c>
      <c r="G31" s="60">
        <v>46200</v>
      </c>
      <c r="H31" s="60">
        <v>46201</v>
      </c>
      <c r="I31" s="256" t="s">
        <v>1</v>
      </c>
      <c r="J31" s="258" t="s">
        <v>2</v>
      </c>
      <c r="K31" s="259"/>
    </row>
    <row r="32" spans="1:11" ht="16.5" customHeight="1" x14ac:dyDescent="0.2">
      <c r="A32" s="21" t="s">
        <v>3</v>
      </c>
      <c r="B32" s="2" t="s">
        <v>4</v>
      </c>
      <c r="C32" s="20" t="s">
        <v>5</v>
      </c>
      <c r="D32" s="20" t="s">
        <v>6</v>
      </c>
      <c r="E32" s="2" t="s">
        <v>7</v>
      </c>
      <c r="F32" s="2" t="s">
        <v>8</v>
      </c>
      <c r="G32" s="2" t="s">
        <v>9</v>
      </c>
      <c r="H32" s="23" t="s">
        <v>10</v>
      </c>
      <c r="I32" s="257"/>
      <c r="J32" s="260"/>
      <c r="K32" s="261"/>
    </row>
    <row r="33" spans="1:11" ht="18" customHeight="1" x14ac:dyDescent="0.2">
      <c r="A33" s="16" t="s">
        <v>12</v>
      </c>
      <c r="B33" s="11"/>
      <c r="C33" s="10"/>
      <c r="D33" s="10"/>
      <c r="E33" s="11"/>
      <c r="F33" s="11"/>
      <c r="G33" s="11"/>
      <c r="H33" s="11"/>
      <c r="I33" s="5"/>
      <c r="J33" s="249"/>
      <c r="K33" s="250"/>
    </row>
    <row r="34" spans="1:11" ht="17.25" customHeight="1" x14ac:dyDescent="0.2">
      <c r="A34" s="19" t="s">
        <v>116</v>
      </c>
      <c r="B34" s="181" t="s">
        <v>19</v>
      </c>
      <c r="C34" s="183"/>
      <c r="D34" s="183"/>
      <c r="E34" s="181"/>
      <c r="F34" s="182"/>
      <c r="G34" s="173"/>
      <c r="H34" s="181" t="s">
        <v>19</v>
      </c>
      <c r="I34" s="5">
        <f t="shared" ref="I34:I38" si="5">COUNTIFS(B34:H34,"&lt;&gt;空",B34:H34,"&lt;&gt;休",B34:H34,"&lt;&gt;調",B34:H34,"&lt;&gt;",B34:H34,"&lt;&gt;調整休")</f>
        <v>2</v>
      </c>
      <c r="J34" s="321">
        <f>SUM(COUNTIF(B34:H34,"9-14"))*(5)+(COUNTIF(B34:H34,"14-19"))*(5)+(COUNTIF(B34:H34,"13-18"))*(5)+(COUNTIF(B34:H34,"13-19"))*(5.25)+(COUNTIF(B34:H34,"13-17"))*(4)+(COUNTIF(B34:H34,"12-16"))*(4)+(COUNTIF(B34:H34,"9-15"))*(5.25)+(COUNTIF(B34:H34,"東9-14"))*(4.5)</f>
        <v>10</v>
      </c>
      <c r="K34" s="322"/>
    </row>
    <row r="35" spans="1:11" ht="17.25" customHeight="1" x14ac:dyDescent="0.2">
      <c r="A35" s="19" t="s">
        <v>72</v>
      </c>
      <c r="B35" s="181"/>
      <c r="C35" s="183"/>
      <c r="D35" s="183"/>
      <c r="E35" s="181"/>
      <c r="F35" s="181" t="s">
        <v>18</v>
      </c>
      <c r="G35" s="181" t="s">
        <v>143</v>
      </c>
      <c r="H35" s="181" t="s">
        <v>173</v>
      </c>
      <c r="I35" s="5">
        <f t="shared" si="5"/>
        <v>3</v>
      </c>
      <c r="J35" s="321">
        <f t="shared" ref="J35:J38" si="6">SUM(COUNTIF(B35:H35,"9-14"))*(4.5)+(COUNTIF(B35:H35,"14-19"))*(4.5)+(COUNTIF(B35:H35,"13-18"))*(5)+(COUNTIF(B35:H35,"13-19"))*(5.25)+(COUNTIF(B35:H35,"13-17"))*(4)+(COUNTIF(B35:H35,"12-16"))*(4)+(COUNTIF(B35:H35,"9-15"))*(5.25)+(COUNTIF(B35:H35,"東9-14"))*(4.5)+(COUNTIF(B35:H35,"9-13"))*(4)</f>
        <v>9.5</v>
      </c>
      <c r="K35" s="322"/>
    </row>
    <row r="36" spans="1:11" ht="17.25" customHeight="1" x14ac:dyDescent="0.2">
      <c r="A36" s="19" t="s">
        <v>138</v>
      </c>
      <c r="B36" s="181"/>
      <c r="C36" s="183"/>
      <c r="D36" s="183"/>
      <c r="E36" s="181" t="s">
        <v>19</v>
      </c>
      <c r="F36" s="181" t="s">
        <v>143</v>
      </c>
      <c r="G36" s="181" t="s">
        <v>19</v>
      </c>
      <c r="H36" s="181" t="s">
        <v>18</v>
      </c>
      <c r="I36" s="5">
        <f t="shared" si="5"/>
        <v>4</v>
      </c>
      <c r="J36" s="321">
        <f t="shared" si="6"/>
        <v>13.5</v>
      </c>
      <c r="K36" s="322"/>
    </row>
    <row r="37" spans="1:11" ht="17.25" customHeight="1" x14ac:dyDescent="0.2">
      <c r="A37" s="19" t="s">
        <v>152</v>
      </c>
      <c r="B37" s="181" t="s">
        <v>143</v>
      </c>
      <c r="C37" s="183"/>
      <c r="D37" s="183"/>
      <c r="E37" s="181" t="s">
        <v>143</v>
      </c>
      <c r="F37" s="181" t="s">
        <v>19</v>
      </c>
      <c r="G37" s="181" t="s">
        <v>18</v>
      </c>
      <c r="H37" s="181"/>
      <c r="I37" s="5">
        <f t="shared" si="5"/>
        <v>4</v>
      </c>
      <c r="J37" s="321">
        <v>18</v>
      </c>
      <c r="K37" s="322"/>
    </row>
    <row r="38" spans="1:11" ht="17.25" customHeight="1" x14ac:dyDescent="0.2">
      <c r="A38" s="19" t="s">
        <v>139</v>
      </c>
      <c r="B38" s="181" t="s">
        <v>18</v>
      </c>
      <c r="C38" s="183"/>
      <c r="D38" s="183"/>
      <c r="E38" s="181" t="s">
        <v>18</v>
      </c>
      <c r="F38" s="232" t="s">
        <v>135</v>
      </c>
      <c r="G38" s="181"/>
      <c r="H38" s="181"/>
      <c r="I38" s="5">
        <f t="shared" si="5"/>
        <v>3</v>
      </c>
      <c r="J38" s="321">
        <f t="shared" si="6"/>
        <v>13.5</v>
      </c>
      <c r="K38" s="322"/>
    </row>
    <row r="39" spans="1:11" ht="17.25" customHeight="1" x14ac:dyDescent="0.2">
      <c r="A39" s="27" t="s">
        <v>53</v>
      </c>
      <c r="B39" s="181"/>
      <c r="C39" s="183"/>
      <c r="D39" s="183"/>
      <c r="E39" s="181"/>
      <c r="F39" s="181"/>
      <c r="G39" s="173"/>
      <c r="H39" s="181"/>
      <c r="I39" s="5"/>
      <c r="J39" s="61"/>
      <c r="K39" s="62"/>
    </row>
    <row r="40" spans="1:11" ht="16.5" customHeight="1" x14ac:dyDescent="0.2">
      <c r="A40" s="21" t="s">
        <v>0</v>
      </c>
      <c r="B40" s="22">
        <v>46202</v>
      </c>
      <c r="C40" s="22">
        <v>46203</v>
      </c>
      <c r="D40" s="22"/>
      <c r="E40" s="22"/>
      <c r="F40" s="22"/>
      <c r="G40" s="22"/>
      <c r="H40" s="22"/>
      <c r="I40" s="256" t="s">
        <v>1</v>
      </c>
      <c r="J40" s="258" t="s">
        <v>2</v>
      </c>
      <c r="K40" s="259"/>
    </row>
    <row r="41" spans="1:11" ht="16.5" customHeight="1" x14ac:dyDescent="0.2">
      <c r="A41" s="21" t="s">
        <v>3</v>
      </c>
      <c r="B41" s="2" t="s">
        <v>4</v>
      </c>
      <c r="C41" s="174" t="s">
        <v>5</v>
      </c>
      <c r="D41" s="20"/>
      <c r="E41" s="2"/>
      <c r="F41" s="2"/>
      <c r="G41" s="2"/>
      <c r="H41" s="23"/>
      <c r="I41" s="257"/>
      <c r="J41" s="260"/>
      <c r="K41" s="261"/>
    </row>
    <row r="42" spans="1:11" ht="16.5" customHeight="1" x14ac:dyDescent="0.2">
      <c r="A42" s="16" t="s">
        <v>11</v>
      </c>
      <c r="B42" s="11"/>
      <c r="C42" s="10"/>
      <c r="D42" s="10"/>
      <c r="E42" s="10"/>
      <c r="F42" s="10"/>
      <c r="G42" s="10"/>
      <c r="H42" s="10"/>
      <c r="I42" s="5"/>
      <c r="J42" s="323"/>
      <c r="K42" s="250"/>
    </row>
    <row r="43" spans="1:11" ht="17.25" customHeight="1" x14ac:dyDescent="0.2">
      <c r="A43" s="19" t="s">
        <v>116</v>
      </c>
      <c r="B43" s="181" t="s">
        <v>19</v>
      </c>
      <c r="C43" s="183"/>
      <c r="D43" s="183"/>
      <c r="E43" s="183"/>
      <c r="F43" s="183"/>
      <c r="G43" s="183"/>
      <c r="H43" s="183"/>
      <c r="I43" s="5">
        <f t="shared" ref="I43:I47" si="7">COUNTIFS(B43:H43,"&lt;&gt;空",B43:H43,"&lt;&gt;休",B43:H43,"&lt;&gt;調",B43:H43,"&lt;&gt;",B43:H43,"&lt;&gt;調整休")</f>
        <v>1</v>
      </c>
      <c r="J43" s="321">
        <f>SUM(COUNTIF(B43:H43,"9-14"))*(5)+(COUNTIF(B43:H43,"14-19"))*(5)+(COUNTIF(B43:H43,"13-18"))*(5)+(COUNTIF(B43:H43,"13-19"))*(5.25)+(COUNTIF(B43:H43,"13-17"))*(4)+(COUNTIF(B43:H43,"12-16"))*(4)+(COUNTIF(B43:H43,"9-15"))*(5.25)+(COUNTIF(B43:H43,"東9-14"))*(4.5)</f>
        <v>5</v>
      </c>
      <c r="K43" s="322"/>
    </row>
    <row r="44" spans="1:11" ht="17.25" customHeight="1" x14ac:dyDescent="0.2">
      <c r="A44" s="19" t="s">
        <v>72</v>
      </c>
      <c r="B44" s="181"/>
      <c r="C44" s="183"/>
      <c r="D44" s="183"/>
      <c r="E44" s="183"/>
      <c r="F44" s="183"/>
      <c r="G44" s="183"/>
      <c r="H44" s="183"/>
      <c r="I44" s="5">
        <f t="shared" si="7"/>
        <v>0</v>
      </c>
      <c r="J44" s="321">
        <f t="shared" ref="J44:J47" si="8">SUM(COUNTIF(B44:H44,"9-14"))*(4.5)+(COUNTIF(B44:H44,"14-19"))*(4.5)+(COUNTIF(B44:H44,"13-18"))*(5)+(COUNTIF(B44:H44,"13-19"))*(5.25)+(COUNTIF(B44:H44,"13-17"))*(4)+(COUNTIF(B44:H44,"12-16"))*(4)+(COUNTIF(B44:H44,"9-15"))*(5.25)+(COUNTIF(B44:H44,"東9-14"))*(4.5)+(COUNTIF(B44:H44,"9-13"))*(4)</f>
        <v>0</v>
      </c>
      <c r="K44" s="322"/>
    </row>
    <row r="45" spans="1:11" ht="17.25" customHeight="1" x14ac:dyDescent="0.2">
      <c r="A45" s="19" t="s">
        <v>138</v>
      </c>
      <c r="B45" s="181"/>
      <c r="C45" s="183"/>
      <c r="D45" s="183"/>
      <c r="E45" s="183"/>
      <c r="F45" s="183"/>
      <c r="G45" s="183"/>
      <c r="H45" s="183"/>
      <c r="I45" s="5">
        <f t="shared" si="7"/>
        <v>0</v>
      </c>
      <c r="J45" s="321">
        <f t="shared" si="8"/>
        <v>0</v>
      </c>
      <c r="K45" s="322"/>
    </row>
    <row r="46" spans="1:11" ht="17.25" customHeight="1" x14ac:dyDescent="0.2">
      <c r="A46" s="19" t="s">
        <v>152</v>
      </c>
      <c r="B46" s="181" t="s">
        <v>143</v>
      </c>
      <c r="C46" s="183"/>
      <c r="D46" s="183"/>
      <c r="E46" s="183"/>
      <c r="F46" s="183"/>
      <c r="G46" s="183"/>
      <c r="H46" s="183"/>
      <c r="I46" s="5">
        <f t="shared" si="7"/>
        <v>1</v>
      </c>
      <c r="J46" s="321">
        <v>4.5</v>
      </c>
      <c r="K46" s="322"/>
    </row>
    <row r="47" spans="1:11" ht="17.25" customHeight="1" x14ac:dyDescent="0.2">
      <c r="A47" s="19" t="s">
        <v>139</v>
      </c>
      <c r="B47" s="181" t="s">
        <v>18</v>
      </c>
      <c r="C47" s="183"/>
      <c r="D47" s="183"/>
      <c r="E47" s="183"/>
      <c r="F47" s="183"/>
      <c r="G47" s="183"/>
      <c r="H47" s="183"/>
      <c r="I47" s="5">
        <f t="shared" si="7"/>
        <v>1</v>
      </c>
      <c r="J47" s="321">
        <f t="shared" si="8"/>
        <v>4.5</v>
      </c>
      <c r="K47" s="322"/>
    </row>
    <row r="48" spans="1:11" ht="17.25" customHeight="1" x14ac:dyDescent="0.2">
      <c r="A48" s="27" t="s">
        <v>53</v>
      </c>
      <c r="B48" s="181"/>
      <c r="C48" s="183"/>
      <c r="D48" s="183"/>
      <c r="E48" s="183"/>
      <c r="F48" s="183"/>
      <c r="G48" s="183"/>
      <c r="H48" s="183"/>
      <c r="I48" s="5"/>
      <c r="J48" s="61"/>
      <c r="K48" s="62"/>
    </row>
    <row r="49" spans="1:11" ht="9.75" customHeight="1" x14ac:dyDescent="0.2">
      <c r="A49" s="35"/>
      <c r="B49" s="36"/>
      <c r="C49" s="36"/>
      <c r="D49" s="36"/>
      <c r="E49" s="36"/>
      <c r="F49" s="36"/>
      <c r="G49" s="36"/>
      <c r="H49" s="36"/>
      <c r="I49" s="269" t="s">
        <v>180</v>
      </c>
      <c r="J49" s="269"/>
      <c r="K49" s="269"/>
    </row>
    <row r="50" spans="1:11" ht="16.5" customHeight="1" x14ac:dyDescent="0.2">
      <c r="A50" s="285" t="s">
        <v>169</v>
      </c>
      <c r="B50" s="286"/>
    </row>
    <row r="51" spans="1:11" ht="16.5" customHeight="1" x14ac:dyDescent="0.2">
      <c r="A51" s="274" t="s">
        <v>188</v>
      </c>
      <c r="B51" s="275"/>
    </row>
    <row r="52" spans="1:11" ht="16.5" customHeight="1" x14ac:dyDescent="0.2">
      <c r="A52" s="276"/>
      <c r="B52" s="277"/>
      <c r="C52" s="280" t="s">
        <v>170</v>
      </c>
      <c r="D52" s="281"/>
      <c r="E52" s="281"/>
      <c r="F52" s="281"/>
      <c r="G52" s="281"/>
      <c r="H52" s="281"/>
      <c r="I52" s="281"/>
    </row>
    <row r="53" spans="1:11" ht="16.5" customHeight="1" x14ac:dyDescent="0.2">
      <c r="A53" s="278"/>
      <c r="B53" s="279"/>
      <c r="C53" s="280"/>
      <c r="D53" s="281"/>
      <c r="E53" s="281"/>
      <c r="F53" s="281"/>
      <c r="G53" s="281"/>
      <c r="H53" s="281"/>
      <c r="I53" s="281"/>
    </row>
  </sheetData>
  <mergeCells count="48">
    <mergeCell ref="A50:B50"/>
    <mergeCell ref="A51:B53"/>
    <mergeCell ref="C52:I53"/>
    <mergeCell ref="I49:K49"/>
    <mergeCell ref="J42:K42"/>
    <mergeCell ref="J43:K43"/>
    <mergeCell ref="J44:K44"/>
    <mergeCell ref="J45:K45"/>
    <mergeCell ref="J46:K46"/>
    <mergeCell ref="J47:K47"/>
    <mergeCell ref="I40:I41"/>
    <mergeCell ref="J40:K41"/>
    <mergeCell ref="J27:K27"/>
    <mergeCell ref="J28:K28"/>
    <mergeCell ref="J29:K29"/>
    <mergeCell ref="I31:I32"/>
    <mergeCell ref="J31:K32"/>
    <mergeCell ref="J33:K33"/>
    <mergeCell ref="J34:K34"/>
    <mergeCell ref="J35:K35"/>
    <mergeCell ref="J36:K36"/>
    <mergeCell ref="J37:K37"/>
    <mergeCell ref="J38:K38"/>
    <mergeCell ref="I22:I23"/>
    <mergeCell ref="J22:K23"/>
    <mergeCell ref="F24:H24"/>
    <mergeCell ref="J24:K24"/>
    <mergeCell ref="J25:K25"/>
    <mergeCell ref="J26:K26"/>
    <mergeCell ref="J15:K15"/>
    <mergeCell ref="J16:K16"/>
    <mergeCell ref="J17:K17"/>
    <mergeCell ref="J18:K18"/>
    <mergeCell ref="J19:K19"/>
    <mergeCell ref="J20:K20"/>
    <mergeCell ref="I13:I14"/>
    <mergeCell ref="J13:K14"/>
    <mergeCell ref="B1:F1"/>
    <mergeCell ref="H1:K1"/>
    <mergeCell ref="A3:I3"/>
    <mergeCell ref="I4:I5"/>
    <mergeCell ref="J4:K5"/>
    <mergeCell ref="J6:K6"/>
    <mergeCell ref="J7:K7"/>
    <mergeCell ref="J8:K8"/>
    <mergeCell ref="J9:K9"/>
    <mergeCell ref="J10:K10"/>
    <mergeCell ref="J11:K11"/>
  </mergeCells>
  <phoneticPr fontId="13"/>
  <pageMargins left="0.39370078740157483" right="0.27559055118110237" top="0.31496062992125984" bottom="0.11811023622047245" header="0.51181102362204722" footer="0.51181102362204722"/>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66A4B2A1-C35D-40CC-B0A3-8C0C69F303D1}">
          <x14:formula1>
            <xm:f>'F:\Users\clmiwa-three\Downloads\[《中村》新田・草加 エリア 仮シフト【12月16日～1月15日】.xlsx]参照データベース'!#REF!</xm:f>
          </x14:formula1>
          <xm:sqref>G1 C49:H49</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E225A0-460F-407E-9433-230AB28AE531}">
  <sheetPr>
    <tabColor theme="7" tint="0.59999389629810485"/>
    <pageSetUpPr fitToPage="1"/>
  </sheetPr>
  <dimension ref="A1:X58"/>
  <sheetViews>
    <sheetView topLeftCell="A31" zoomScale="85" zoomScaleNormal="85" workbookViewId="0">
      <selection activeCell="C57" sqref="C57:I58"/>
    </sheetView>
  </sheetViews>
  <sheetFormatPr defaultColWidth="9" defaultRowHeight="18" customHeight="1" x14ac:dyDescent="0.2"/>
  <cols>
    <col min="1" max="1" width="11.88671875" style="1" customWidth="1"/>
    <col min="2" max="8" width="10.21875" style="13" customWidth="1"/>
    <col min="9" max="9" width="7.6640625" style="1" customWidth="1"/>
    <col min="10" max="10" width="9" style="1"/>
    <col min="11" max="11" width="3.109375" style="1" customWidth="1"/>
    <col min="12" max="16384" width="9" style="1"/>
  </cols>
  <sheetData>
    <row r="1" spans="1:24" ht="18" customHeight="1" thickBot="1" x14ac:dyDescent="0.25">
      <c r="A1" s="53" t="s">
        <v>56</v>
      </c>
      <c r="B1" s="251" t="s">
        <v>167</v>
      </c>
      <c r="C1" s="251"/>
      <c r="D1" s="251"/>
      <c r="E1" s="251"/>
      <c r="F1" s="251"/>
      <c r="H1" s="341" t="s">
        <v>46</v>
      </c>
      <c r="I1" s="342"/>
      <c r="J1" s="343"/>
      <c r="K1" s="344"/>
    </row>
    <row r="2" spans="1:24" ht="9" customHeight="1" x14ac:dyDescent="0.2">
      <c r="A2" s="13"/>
      <c r="B2" s="319"/>
      <c r="C2" s="319"/>
      <c r="D2" s="320"/>
      <c r="E2" s="320"/>
      <c r="I2" s="13"/>
      <c r="J2" s="3"/>
      <c r="K2" s="4"/>
    </row>
    <row r="3" spans="1:24" ht="18" customHeight="1" x14ac:dyDescent="0.2">
      <c r="A3" s="21" t="s">
        <v>0</v>
      </c>
      <c r="B3" s="60">
        <v>46174</v>
      </c>
      <c r="C3" s="60">
        <v>46175</v>
      </c>
      <c r="D3" s="60">
        <v>46176</v>
      </c>
      <c r="E3" s="60">
        <v>46177</v>
      </c>
      <c r="F3" s="60">
        <v>46178</v>
      </c>
      <c r="G3" s="60">
        <v>46179</v>
      </c>
      <c r="H3" s="60">
        <v>46180</v>
      </c>
      <c r="I3" s="256" t="s">
        <v>1</v>
      </c>
      <c r="J3" s="258" t="s">
        <v>2</v>
      </c>
      <c r="K3" s="259"/>
    </row>
    <row r="4" spans="1:24" ht="18" customHeight="1" x14ac:dyDescent="0.2">
      <c r="A4" s="21" t="s">
        <v>3</v>
      </c>
      <c r="B4" s="2" t="s">
        <v>4</v>
      </c>
      <c r="C4" s="20" t="s">
        <v>5</v>
      </c>
      <c r="D4" s="20" t="s">
        <v>6</v>
      </c>
      <c r="E4" s="2" t="s">
        <v>7</v>
      </c>
      <c r="F4" s="2" t="s">
        <v>8</v>
      </c>
      <c r="G4" s="2" t="s">
        <v>9</v>
      </c>
      <c r="H4" s="23" t="s">
        <v>10</v>
      </c>
      <c r="I4" s="257"/>
      <c r="J4" s="260"/>
      <c r="K4" s="261"/>
    </row>
    <row r="5" spans="1:24" ht="18" customHeight="1" thickBot="1" x14ac:dyDescent="0.25">
      <c r="A5" s="72" t="s">
        <v>11</v>
      </c>
      <c r="B5" s="77"/>
      <c r="C5" s="73"/>
      <c r="D5" s="73"/>
      <c r="E5" s="68"/>
      <c r="F5" s="77"/>
      <c r="G5" s="68"/>
      <c r="H5" s="68"/>
      <c r="I5" s="69"/>
      <c r="J5" s="334"/>
      <c r="K5" s="335"/>
    </row>
    <row r="6" spans="1:24" ht="18" customHeight="1" x14ac:dyDescent="0.2">
      <c r="A6" s="324" t="s">
        <v>155</v>
      </c>
      <c r="B6" s="203"/>
      <c r="C6" s="91"/>
      <c r="D6" s="76"/>
      <c r="E6" s="75"/>
      <c r="F6" s="26" t="s">
        <v>18</v>
      </c>
      <c r="G6" s="217"/>
      <c r="H6" s="337" t="s">
        <v>61</v>
      </c>
      <c r="I6" s="326">
        <v>3</v>
      </c>
      <c r="J6" s="328">
        <v>19.75</v>
      </c>
      <c r="K6" s="329"/>
      <c r="N6" s="6"/>
      <c r="O6" s="6"/>
      <c r="P6" s="6"/>
      <c r="Q6" s="6"/>
      <c r="R6" s="6"/>
      <c r="S6" s="6"/>
      <c r="T6" s="6"/>
      <c r="U6" s="6"/>
      <c r="V6" s="6"/>
      <c r="W6" s="6"/>
      <c r="X6" s="6"/>
    </row>
    <row r="7" spans="1:24" ht="18" customHeight="1" thickBot="1" x14ac:dyDescent="0.25">
      <c r="A7" s="325"/>
      <c r="B7" s="238"/>
      <c r="C7" s="92"/>
      <c r="D7" s="78"/>
      <c r="E7" s="77"/>
      <c r="F7" s="238"/>
      <c r="G7" s="77" t="s">
        <v>60</v>
      </c>
      <c r="H7" s="338"/>
      <c r="I7" s="327"/>
      <c r="J7" s="330"/>
      <c r="K7" s="331"/>
      <c r="N7" s="6"/>
      <c r="O7" s="6"/>
      <c r="P7" s="6"/>
      <c r="Q7" s="6"/>
      <c r="R7" s="6"/>
      <c r="S7" s="6"/>
      <c r="T7" s="6"/>
      <c r="U7" s="6"/>
      <c r="V7" s="6"/>
      <c r="W7" s="6"/>
      <c r="X7" s="6"/>
    </row>
    <row r="8" spans="1:24" ht="18" customHeight="1" x14ac:dyDescent="0.2">
      <c r="A8" s="37" t="s">
        <v>44</v>
      </c>
      <c r="B8" s="26" t="s">
        <v>18</v>
      </c>
      <c r="C8" s="74"/>
      <c r="D8" s="74"/>
      <c r="E8" s="26" t="s">
        <v>18</v>
      </c>
      <c r="F8" s="26"/>
      <c r="G8" s="26" t="s">
        <v>18</v>
      </c>
      <c r="H8" s="26"/>
      <c r="I8" s="37">
        <f>COUNTIFS(B8:H8,"&lt;&gt;空",B8:H8,"&lt;&gt;休",B8:H8,"&lt;&gt;調",B8:H8,"&lt;&gt;",B8:H8,"&lt;&gt;調整休")</f>
        <v>3</v>
      </c>
      <c r="J8" s="332">
        <f>SUM(COUNTIF(B8:H8,"9-16"))*(6.25)+(COUNTIF(B8:H8,"9-15"))*(5.5)+(COUNTIF(B8:H8,"9-14"))*(4.5)+(COUNTIF(B8:H8,"16-19"))*(3)+(COUNTIF(B8:H8,"15-19"))*(4)+(COUNTIF(B8:H8,"14-19"))*(4.5)+(COUNTIF(B8:H8,"13-19"))*(5.5)+(COUNTIF(B8:H8,"12-19"))*(6.25)</f>
        <v>13.5</v>
      </c>
      <c r="K8" s="333"/>
      <c r="M8" s="178"/>
      <c r="N8" s="6"/>
      <c r="O8" s="6"/>
      <c r="P8" s="6"/>
      <c r="Q8" s="6"/>
      <c r="R8" s="6"/>
      <c r="S8" s="6"/>
      <c r="T8" s="6"/>
      <c r="U8" s="6"/>
      <c r="V8" s="6"/>
      <c r="W8" s="6"/>
      <c r="X8" s="6"/>
    </row>
    <row r="9" spans="1:24" ht="18" customHeight="1" x14ac:dyDescent="0.2">
      <c r="A9" s="69" t="s">
        <v>45</v>
      </c>
      <c r="B9" s="11" t="s">
        <v>19</v>
      </c>
      <c r="C9" s="176"/>
      <c r="D9" s="59"/>
      <c r="E9" s="11" t="s">
        <v>19</v>
      </c>
      <c r="F9" s="11" t="s">
        <v>19</v>
      </c>
      <c r="G9" s="11"/>
      <c r="H9" s="11"/>
      <c r="I9" s="69">
        <f>COUNTIFS(B9:H9,"&lt;&gt;空",B9:H9,"&lt;&gt;休",B9:H9,"&lt;&gt;調",B9:H9,"&lt;&gt;",B9:H9,"&lt;&gt;調整休")</f>
        <v>3</v>
      </c>
      <c r="J9" s="249">
        <f>SUM(COUNTIF(B9:H9,"9-16"))*(6.25)+(COUNTIF(B9:H9,"9-15"))*(5.5)+(COUNTIF(B9:H9,"9-14"))*(4.5)+(COUNTIF(B9:H9,"16-19"))*(3)+(COUNTIF(B9:H9,"15-19"))*(4)+(COUNTIF(B9:H9,"14-19"))*(4.5)+(COUNTIF(B9:H9,"13-19"))*(5.5)+(COUNTIF(B9:H9,"12-19"))*(6.25)</f>
        <v>13.5</v>
      </c>
      <c r="K9" s="250"/>
    </row>
    <row r="10" spans="1:24" ht="18" customHeight="1" x14ac:dyDescent="0.2">
      <c r="A10" s="235"/>
      <c r="B10" s="26"/>
      <c r="C10" s="236"/>
      <c r="D10" s="74"/>
      <c r="E10" s="26"/>
      <c r="F10" s="26"/>
      <c r="G10" s="26"/>
      <c r="H10" s="11"/>
      <c r="I10" s="11"/>
      <c r="J10" s="332"/>
      <c r="K10" s="333"/>
    </row>
    <row r="11" spans="1:24" ht="18" customHeight="1" x14ac:dyDescent="0.2">
      <c r="A11" s="235"/>
      <c r="B11" s="11"/>
      <c r="C11" s="24"/>
      <c r="D11" s="10"/>
      <c r="E11" s="11"/>
      <c r="F11" s="11"/>
      <c r="G11" s="11"/>
      <c r="H11" s="11"/>
      <c r="I11" s="11"/>
      <c r="J11" s="249"/>
      <c r="K11" s="250"/>
    </row>
    <row r="12" spans="1:24" ht="18" customHeight="1" x14ac:dyDescent="0.2">
      <c r="A12" s="29" t="s">
        <v>0</v>
      </c>
      <c r="B12" s="46">
        <v>46181</v>
      </c>
      <c r="C12" s="46">
        <v>46182</v>
      </c>
      <c r="D12" s="46">
        <v>46183</v>
      </c>
      <c r="E12" s="46">
        <v>46184</v>
      </c>
      <c r="F12" s="46">
        <v>46185</v>
      </c>
      <c r="G12" s="46">
        <v>46186</v>
      </c>
      <c r="H12" s="46">
        <v>46187</v>
      </c>
      <c r="I12" s="184"/>
      <c r="J12" s="339" t="s">
        <v>2</v>
      </c>
      <c r="K12" s="340"/>
    </row>
    <row r="13" spans="1:24" ht="18" customHeight="1" x14ac:dyDescent="0.2">
      <c r="A13" s="21" t="s">
        <v>3</v>
      </c>
      <c r="B13" s="2" t="s">
        <v>4</v>
      </c>
      <c r="C13" s="20" t="s">
        <v>5</v>
      </c>
      <c r="D13" s="20" t="s">
        <v>6</v>
      </c>
      <c r="E13" s="2" t="s">
        <v>7</v>
      </c>
      <c r="F13" s="2" t="s">
        <v>8</v>
      </c>
      <c r="G13" s="2" t="s">
        <v>9</v>
      </c>
      <c r="H13" s="23" t="s">
        <v>10</v>
      </c>
      <c r="I13" s="8"/>
      <c r="J13" s="260"/>
      <c r="K13" s="261"/>
    </row>
    <row r="14" spans="1:24" ht="18" customHeight="1" thickBot="1" x14ac:dyDescent="0.25">
      <c r="A14" s="72" t="s">
        <v>12</v>
      </c>
      <c r="B14" s="77"/>
      <c r="C14" s="73"/>
      <c r="D14" s="73"/>
      <c r="E14" s="68"/>
      <c r="F14" s="264" t="s">
        <v>50</v>
      </c>
      <c r="G14" s="264"/>
      <c r="H14" s="264"/>
      <c r="I14" s="69"/>
      <c r="J14" s="334"/>
      <c r="K14" s="335"/>
    </row>
    <row r="15" spans="1:24" ht="20.399999999999999" customHeight="1" x14ac:dyDescent="0.2">
      <c r="A15" s="324" t="s">
        <v>155</v>
      </c>
      <c r="B15" s="203"/>
      <c r="C15" s="91"/>
      <c r="D15" s="76"/>
      <c r="E15" s="75"/>
      <c r="F15" s="187" t="s">
        <v>132</v>
      </c>
      <c r="G15" s="187" t="s">
        <v>130</v>
      </c>
      <c r="H15" s="337" t="s">
        <v>61</v>
      </c>
      <c r="I15" s="326">
        <v>3</v>
      </c>
      <c r="J15" s="328">
        <v>24.75</v>
      </c>
      <c r="K15" s="329"/>
    </row>
    <row r="16" spans="1:24" ht="20.399999999999999" customHeight="1" thickBot="1" x14ac:dyDescent="0.25">
      <c r="A16" s="325"/>
      <c r="B16" s="77" t="s">
        <v>160</v>
      </c>
      <c r="C16" s="92"/>
      <c r="D16" s="78"/>
      <c r="E16" s="77"/>
      <c r="F16" s="186" t="s">
        <v>19</v>
      </c>
      <c r="G16" s="77" t="s">
        <v>60</v>
      </c>
      <c r="H16" s="338"/>
      <c r="I16" s="327"/>
      <c r="J16" s="330"/>
      <c r="K16" s="331"/>
    </row>
    <row r="17" spans="1:11" ht="18" customHeight="1" x14ac:dyDescent="0.2">
      <c r="A17" s="37" t="s">
        <v>44</v>
      </c>
      <c r="B17" s="26" t="s">
        <v>18</v>
      </c>
      <c r="C17" s="74"/>
      <c r="D17" s="74"/>
      <c r="E17" s="26" t="s">
        <v>18</v>
      </c>
      <c r="F17" s="26"/>
      <c r="G17" s="26" t="s">
        <v>20</v>
      </c>
      <c r="H17" s="26"/>
      <c r="I17" s="37">
        <f t="shared" ref="I17:I18" si="0">COUNTIFS(B17:H17,"&lt;&gt;空",B17:H17,"&lt;&gt;休",B17:H17,"&lt;&gt;調",B17:H17,"&lt;&gt;",B17:H17,"&lt;&gt;調整休")</f>
        <v>3</v>
      </c>
      <c r="J17" s="332">
        <f>SUM(COUNTIF(B17:H17,"9-16"))*(6.25)+(COUNTIF(B17:H17,"9-15"))*(5.5)+(COUNTIF(B17:H17,"9-14"))*(4.5)+(COUNTIF(B17:H17,"16-19"))*(3)+(COUNTIF(B17:H17,"15-19"))*(4)+(COUNTIF(B17:H17,"14-19"))*(4.5)+(COUNTIF(B17:H17,"13-19"))*(5.5)+(COUNTIF(B17:H17,"12-19"))*(6.25)</f>
        <v>14.5</v>
      </c>
      <c r="K17" s="333"/>
    </row>
    <row r="18" spans="1:11" ht="18" customHeight="1" x14ac:dyDescent="0.2">
      <c r="A18" s="5" t="s">
        <v>45</v>
      </c>
      <c r="B18" s="11" t="s">
        <v>19</v>
      </c>
      <c r="C18" s="176"/>
      <c r="D18" s="59"/>
      <c r="E18" s="11" t="s">
        <v>19</v>
      </c>
      <c r="F18" s="11" t="s">
        <v>18</v>
      </c>
      <c r="G18" s="11"/>
      <c r="H18" s="11" t="s">
        <v>82</v>
      </c>
      <c r="I18" s="5">
        <f t="shared" si="0"/>
        <v>4</v>
      </c>
      <c r="J18" s="249">
        <f>SUM(COUNTIF(B18:H18,"9-16"))*(6.25)+(COUNTIF(B18:H18,"9-15"))*(5.5)+(COUNTIF(B18:H18,"9-14"))*(4.5)+(COUNTIF(B18:H18,"16-19"))*(3)+(COUNTIF(B18:H18,"15-19"))*(4)+(COUNTIF(B18:H18,"14-19"))*(4.5)+(COUNTIF(B18:H18,"13-19"))*(5.5)+(COUNTIF(B18:H18,"12-19"))*(6.25)</f>
        <v>13.5</v>
      </c>
      <c r="K18" s="250"/>
    </row>
    <row r="19" spans="1:11" ht="18" customHeight="1" x14ac:dyDescent="0.2">
      <c r="A19" s="235"/>
      <c r="B19" s="26"/>
      <c r="C19" s="236"/>
      <c r="D19" s="74"/>
      <c r="E19" s="26"/>
      <c r="F19" s="26"/>
      <c r="G19" s="26"/>
      <c r="H19" s="11"/>
      <c r="I19" s="11"/>
      <c r="J19" s="332"/>
      <c r="K19" s="333"/>
    </row>
    <row r="20" spans="1:11" ht="18" customHeight="1" x14ac:dyDescent="0.2">
      <c r="A20" s="235"/>
      <c r="B20" s="11"/>
      <c r="C20" s="24"/>
      <c r="D20" s="10"/>
      <c r="E20" s="11"/>
      <c r="F20" s="11"/>
      <c r="G20" s="11"/>
      <c r="H20" s="11"/>
      <c r="I20" s="11"/>
      <c r="J20" s="334"/>
      <c r="K20" s="335"/>
    </row>
    <row r="21" spans="1:11" ht="18" customHeight="1" x14ac:dyDescent="0.2">
      <c r="A21" s="21" t="s">
        <v>0</v>
      </c>
      <c r="B21" s="22">
        <v>46188</v>
      </c>
      <c r="C21" s="22">
        <v>46189</v>
      </c>
      <c r="D21" s="22">
        <v>46190</v>
      </c>
      <c r="E21" s="22">
        <v>46191</v>
      </c>
      <c r="F21" s="22">
        <v>46192</v>
      </c>
      <c r="G21" s="22">
        <v>46193</v>
      </c>
      <c r="H21" s="22">
        <v>46194</v>
      </c>
      <c r="I21" s="7"/>
      <c r="J21" s="258" t="s">
        <v>2</v>
      </c>
      <c r="K21" s="259"/>
    </row>
    <row r="22" spans="1:11" ht="18" customHeight="1" x14ac:dyDescent="0.2">
      <c r="A22" s="21" t="s">
        <v>3</v>
      </c>
      <c r="B22" s="2" t="s">
        <v>4</v>
      </c>
      <c r="C22" s="20" t="s">
        <v>5</v>
      </c>
      <c r="D22" s="20" t="s">
        <v>6</v>
      </c>
      <c r="E22" s="2" t="s">
        <v>7</v>
      </c>
      <c r="F22" s="2" t="s">
        <v>8</v>
      </c>
      <c r="G22" s="2" t="s">
        <v>9</v>
      </c>
      <c r="H22" s="23" t="s">
        <v>10</v>
      </c>
      <c r="I22" s="8"/>
      <c r="J22" s="260"/>
      <c r="K22" s="261"/>
    </row>
    <row r="23" spans="1:11" ht="18" customHeight="1" thickBot="1" x14ac:dyDescent="0.25">
      <c r="A23" s="72" t="s">
        <v>11</v>
      </c>
      <c r="B23" s="77"/>
      <c r="C23" s="73"/>
      <c r="D23" s="73"/>
      <c r="E23" s="68"/>
      <c r="F23" s="77"/>
      <c r="G23" s="68"/>
      <c r="H23" s="68"/>
      <c r="I23" s="69"/>
      <c r="J23" s="334"/>
      <c r="K23" s="335"/>
    </row>
    <row r="24" spans="1:11" ht="19.5" customHeight="1" x14ac:dyDescent="0.2">
      <c r="A24" s="324" t="s">
        <v>155</v>
      </c>
      <c r="B24" s="203"/>
      <c r="C24" s="91"/>
      <c r="D24" s="76"/>
      <c r="E24" s="75"/>
      <c r="F24" s="26" t="s">
        <v>18</v>
      </c>
      <c r="G24" s="217"/>
      <c r="H24" s="337" t="s">
        <v>61</v>
      </c>
      <c r="I24" s="326">
        <v>3</v>
      </c>
      <c r="J24" s="328">
        <v>19.75</v>
      </c>
      <c r="K24" s="329"/>
    </row>
    <row r="25" spans="1:11" ht="19.5" customHeight="1" thickBot="1" x14ac:dyDescent="0.25">
      <c r="A25" s="325"/>
      <c r="B25" s="77" t="s">
        <v>160</v>
      </c>
      <c r="C25" s="92"/>
      <c r="D25" s="78"/>
      <c r="E25" s="77"/>
      <c r="F25" s="238"/>
      <c r="G25" s="77" t="s">
        <v>60</v>
      </c>
      <c r="H25" s="338"/>
      <c r="I25" s="327"/>
      <c r="J25" s="330"/>
      <c r="K25" s="331"/>
    </row>
    <row r="26" spans="1:11" ht="18" customHeight="1" x14ac:dyDescent="0.2">
      <c r="A26" s="37" t="s">
        <v>44</v>
      </c>
      <c r="B26" s="26" t="s">
        <v>18</v>
      </c>
      <c r="C26" s="74"/>
      <c r="D26" s="74"/>
      <c r="E26" s="26" t="s">
        <v>18</v>
      </c>
      <c r="F26" s="26"/>
      <c r="G26" s="26" t="s">
        <v>20</v>
      </c>
      <c r="H26" s="26"/>
      <c r="I26" s="37">
        <f>COUNTIFS(B26:H26,"&lt;&gt;空",B26:H26,"&lt;&gt;休",B26:H26,"&lt;&gt;調",B26:H26,"&lt;&gt;",B26:H26,"&lt;&gt;調整休")</f>
        <v>3</v>
      </c>
      <c r="J26" s="332">
        <f>SUM(COUNTIF(B26:H26,"9-16"))*(6.25)+(COUNTIF(B26:H26,"9-15"))*(5.5)+(COUNTIF(B26:H26,"9-14"))*(4.5)+(COUNTIF(B26:H26,"16-19"))*(3)+(COUNTIF(B26:H26,"15-19"))*(4)+(COUNTIF(B26:H26,"14-19"))*(4.5)+(COUNTIF(B26:H26,"13-19"))*(5.5)+(COUNTIF(B26:H26,"12-19"))*(6.25)</f>
        <v>14.5</v>
      </c>
      <c r="K26" s="333"/>
    </row>
    <row r="27" spans="1:11" ht="18" customHeight="1" x14ac:dyDescent="0.2">
      <c r="A27" s="5" t="s">
        <v>45</v>
      </c>
      <c r="B27" s="11" t="s">
        <v>19</v>
      </c>
      <c r="C27" s="176"/>
      <c r="D27" s="59"/>
      <c r="E27" s="11" t="s">
        <v>19</v>
      </c>
      <c r="F27" s="11" t="s">
        <v>19</v>
      </c>
      <c r="G27" s="11"/>
      <c r="H27" s="11" t="s">
        <v>183</v>
      </c>
      <c r="I27" s="5">
        <f>COUNTIFS(B27:H27,"&lt;&gt;空",B27:H27,"&lt;&gt;休",B27:H27,"&lt;&gt;調",B27:H27,"&lt;&gt;",B27:H27,"&lt;&gt;調整休")</f>
        <v>4</v>
      </c>
      <c r="J27" s="249">
        <f>SUM(COUNTIF(B27:H27,"9-16"))*(6.25)+(COUNTIF(B27:H27,"9-15"))*(5.5)+(COUNTIF(B27:H27,"9-14"))*(4.5)+(COUNTIF(B27:H27,"16-19"))*(3)+(COUNTIF(B27:H27,"15-19"))*(4)+(COUNTIF(B27:H27,"14-19"))*(4.5)+(COUNTIF(B27:H27,"13-19"))*(5.5)+(COUNTIF(B27:H27,"12-19"))*(6.25)</f>
        <v>13.5</v>
      </c>
      <c r="K27" s="250"/>
    </row>
    <row r="28" spans="1:11" ht="18" customHeight="1" x14ac:dyDescent="0.2">
      <c r="A28" s="235"/>
      <c r="B28" s="26"/>
      <c r="C28" s="236"/>
      <c r="D28" s="74"/>
      <c r="E28" s="26"/>
      <c r="F28" s="26"/>
      <c r="G28" s="26"/>
      <c r="H28" s="11"/>
      <c r="I28" s="11"/>
      <c r="J28" s="332"/>
      <c r="K28" s="333"/>
    </row>
    <row r="29" spans="1:11" ht="18" customHeight="1" x14ac:dyDescent="0.2">
      <c r="A29" s="235"/>
      <c r="B29" s="11"/>
      <c r="C29" s="24"/>
      <c r="D29" s="10"/>
      <c r="E29" s="11"/>
      <c r="F29" s="11"/>
      <c r="G29" s="11"/>
      <c r="H29" s="11"/>
      <c r="I29" s="11"/>
      <c r="J29" s="334"/>
      <c r="K29" s="335"/>
    </row>
    <row r="30" spans="1:11" ht="18" customHeight="1" x14ac:dyDescent="0.2">
      <c r="A30" s="21" t="s">
        <v>0</v>
      </c>
      <c r="B30" s="60">
        <v>46195</v>
      </c>
      <c r="C30" s="60">
        <v>46196</v>
      </c>
      <c r="D30" s="60">
        <v>46197</v>
      </c>
      <c r="E30" s="60">
        <v>46198</v>
      </c>
      <c r="F30" s="60">
        <v>46199</v>
      </c>
      <c r="G30" s="60">
        <v>46200</v>
      </c>
      <c r="H30" s="60">
        <v>46201</v>
      </c>
      <c r="I30" s="7"/>
      <c r="J30" s="258" t="s">
        <v>2</v>
      </c>
      <c r="K30" s="259"/>
    </row>
    <row r="31" spans="1:11" ht="18" customHeight="1" x14ac:dyDescent="0.2">
      <c r="A31" s="21" t="s">
        <v>3</v>
      </c>
      <c r="B31" s="2" t="s">
        <v>4</v>
      </c>
      <c r="C31" s="20" t="s">
        <v>5</v>
      </c>
      <c r="D31" s="20" t="s">
        <v>6</v>
      </c>
      <c r="E31" s="2" t="s">
        <v>7</v>
      </c>
      <c r="F31" s="2" t="s">
        <v>8</v>
      </c>
      <c r="G31" s="2" t="s">
        <v>9</v>
      </c>
      <c r="H31" s="23" t="s">
        <v>10</v>
      </c>
      <c r="I31" s="8"/>
      <c r="J31" s="260"/>
      <c r="K31" s="261"/>
    </row>
    <row r="32" spans="1:11" ht="18" customHeight="1" thickBot="1" x14ac:dyDescent="0.25">
      <c r="A32" s="72" t="s">
        <v>12</v>
      </c>
      <c r="B32" s="77"/>
      <c r="C32" s="73"/>
      <c r="D32" s="73"/>
      <c r="E32" s="68"/>
      <c r="F32" s="68"/>
      <c r="G32" s="68"/>
      <c r="H32" s="68"/>
      <c r="I32" s="69"/>
      <c r="J32" s="334"/>
      <c r="K32" s="335"/>
    </row>
    <row r="33" spans="1:11" ht="20.399999999999999" customHeight="1" x14ac:dyDescent="0.2">
      <c r="A33" s="324" t="s">
        <v>155</v>
      </c>
      <c r="B33" s="229"/>
      <c r="C33" s="91"/>
      <c r="D33" s="76"/>
      <c r="E33" s="75"/>
      <c r="F33" s="187" t="s">
        <v>132</v>
      </c>
      <c r="G33" s="187" t="s">
        <v>130</v>
      </c>
      <c r="H33" s="337" t="s">
        <v>61</v>
      </c>
      <c r="I33" s="326">
        <v>4</v>
      </c>
      <c r="J33" s="328">
        <v>29.25</v>
      </c>
      <c r="K33" s="329"/>
    </row>
    <row r="34" spans="1:11" ht="20.399999999999999" customHeight="1" thickBot="1" x14ac:dyDescent="0.25">
      <c r="A34" s="325"/>
      <c r="B34" s="83" t="s">
        <v>114</v>
      </c>
      <c r="C34" s="92"/>
      <c r="D34" s="78"/>
      <c r="E34" s="77"/>
      <c r="F34" s="186" t="s">
        <v>19</v>
      </c>
      <c r="G34" s="77" t="s">
        <v>60</v>
      </c>
      <c r="H34" s="338"/>
      <c r="I34" s="327"/>
      <c r="J34" s="330"/>
      <c r="K34" s="331"/>
    </row>
    <row r="35" spans="1:11" ht="18" customHeight="1" x14ac:dyDescent="0.2">
      <c r="A35" s="37" t="s">
        <v>44</v>
      </c>
      <c r="B35" s="26" t="s">
        <v>18</v>
      </c>
      <c r="C35" s="74"/>
      <c r="D35" s="74"/>
      <c r="E35" s="26" t="s">
        <v>18</v>
      </c>
      <c r="F35" s="26"/>
      <c r="G35" s="26" t="s">
        <v>20</v>
      </c>
      <c r="H35" s="26"/>
      <c r="I35" s="37">
        <f>COUNTIFS(B35:H35,"&lt;&gt;空",B35:H35,"&lt;&gt;休",B35:H35,"&lt;&gt;調",B35:H35,"&lt;&gt;",B35:H35,"&lt;&gt;調整休")</f>
        <v>3</v>
      </c>
      <c r="J35" s="332">
        <f>SUM(COUNTIF(B35:H35,"9-16"))*(6.25)+(COUNTIF(B35:H35,"9-15"))*(5.5)+(COUNTIF(B35:H35,"9-14"))*(4.5)+(COUNTIF(B35:H35,"16-19"))*(3)+(COUNTIF(B35:H35,"15-19"))*(4)+(COUNTIF(B35:H35,"14-19"))*(4.5)+(COUNTIF(B35:H35,"13-19"))*(5.5)+(COUNTIF(B35:H35,"12-19"))*(6.25)</f>
        <v>14.5</v>
      </c>
      <c r="K35" s="333"/>
    </row>
    <row r="36" spans="1:11" ht="18" customHeight="1" x14ac:dyDescent="0.2">
      <c r="A36" s="5" t="s">
        <v>45</v>
      </c>
      <c r="B36" s="11" t="s">
        <v>19</v>
      </c>
      <c r="C36" s="176"/>
      <c r="D36" s="59"/>
      <c r="E36" s="11" t="s">
        <v>19</v>
      </c>
      <c r="F36" s="11" t="s">
        <v>18</v>
      </c>
      <c r="G36" s="11"/>
      <c r="H36" s="11" t="s">
        <v>183</v>
      </c>
      <c r="I36" s="5">
        <f>COUNTIFS(B36:H36,"&lt;&gt;空",B36:H36,"&lt;&gt;休",B36:H36,"&lt;&gt;調",B36:H36,"&lt;&gt;",B36:H36,"&lt;&gt;調整休")</f>
        <v>4</v>
      </c>
      <c r="J36" s="249">
        <f>SUM(COUNTIF(B36:H36,"9-16"))*(6.25)+(COUNTIF(B36:H36,"9-15"))*(5.5)+(COUNTIF(B36:H36,"9-14"))*(4.5)+(COUNTIF(B36:H36,"16-19"))*(3)+(COUNTIF(B36:H36,"15-19"))*(4)+(COUNTIF(B36:H36,"14-19"))*(4.5)+(COUNTIF(B36:H36,"13-19"))*(5.5)+(COUNTIF(B36:H36,"12-19"))*(6.25)</f>
        <v>13.5</v>
      </c>
      <c r="K36" s="250"/>
    </row>
    <row r="37" spans="1:11" ht="18" customHeight="1" x14ac:dyDescent="0.2">
      <c r="A37" s="235"/>
      <c r="B37" s="11"/>
      <c r="C37" s="24"/>
      <c r="D37" s="10"/>
      <c r="E37" s="11"/>
      <c r="F37" s="11"/>
      <c r="G37" s="11"/>
      <c r="H37" s="11"/>
      <c r="I37" s="11"/>
      <c r="J37" s="249"/>
      <c r="K37" s="250"/>
    </row>
    <row r="38" spans="1:11" ht="18" customHeight="1" x14ac:dyDescent="0.2">
      <c r="A38" s="235"/>
      <c r="B38" s="11"/>
      <c r="C38" s="24"/>
      <c r="D38" s="10"/>
      <c r="E38" s="11"/>
      <c r="F38" s="11"/>
      <c r="G38" s="11"/>
      <c r="H38" s="11"/>
      <c r="I38" s="11"/>
      <c r="J38" s="249"/>
      <c r="K38" s="250"/>
    </row>
    <row r="39" spans="1:11" ht="18" customHeight="1" x14ac:dyDescent="0.2">
      <c r="A39" s="21" t="s">
        <v>0</v>
      </c>
      <c r="B39" s="22">
        <v>46202</v>
      </c>
      <c r="C39" s="22">
        <v>46203</v>
      </c>
      <c r="D39" s="22"/>
      <c r="E39" s="22"/>
      <c r="F39" s="22"/>
      <c r="G39" s="22"/>
      <c r="H39" s="22"/>
      <c r="I39" s="7"/>
      <c r="J39" s="258" t="s">
        <v>2</v>
      </c>
      <c r="K39" s="259"/>
    </row>
    <row r="40" spans="1:11" ht="18" customHeight="1" x14ac:dyDescent="0.2">
      <c r="A40" s="21" t="s">
        <v>3</v>
      </c>
      <c r="B40" s="2" t="s">
        <v>4</v>
      </c>
      <c r="C40" s="174" t="s">
        <v>5</v>
      </c>
      <c r="D40" s="20"/>
      <c r="E40" s="2"/>
      <c r="F40" s="2"/>
      <c r="G40" s="2"/>
      <c r="H40" s="23"/>
      <c r="I40" s="8"/>
      <c r="J40" s="260"/>
      <c r="K40" s="261"/>
    </row>
    <row r="41" spans="1:11" ht="18" customHeight="1" thickBot="1" x14ac:dyDescent="0.25">
      <c r="A41" s="72" t="s">
        <v>11</v>
      </c>
      <c r="B41" s="77"/>
      <c r="C41" s="73"/>
      <c r="D41" s="73"/>
      <c r="E41" s="73"/>
      <c r="F41" s="73"/>
      <c r="G41" s="73"/>
      <c r="H41" s="73"/>
      <c r="I41" s="69"/>
      <c r="J41" s="336"/>
      <c r="K41" s="335"/>
    </row>
    <row r="42" spans="1:11" ht="19.5" customHeight="1" x14ac:dyDescent="0.2">
      <c r="A42" s="324" t="s">
        <v>155</v>
      </c>
      <c r="B42" s="203"/>
      <c r="C42" s="91"/>
      <c r="D42" s="76"/>
      <c r="E42" s="76"/>
      <c r="F42" s="76"/>
      <c r="G42" s="76"/>
      <c r="H42" s="76"/>
      <c r="I42" s="326">
        <v>0</v>
      </c>
      <c r="J42" s="328">
        <v>0</v>
      </c>
      <c r="K42" s="329"/>
    </row>
    <row r="43" spans="1:11" ht="19.5" customHeight="1" thickBot="1" x14ac:dyDescent="0.25">
      <c r="A43" s="325"/>
      <c r="B43" s="77" t="s">
        <v>160</v>
      </c>
      <c r="C43" s="92"/>
      <c r="D43" s="78"/>
      <c r="E43" s="78"/>
      <c r="F43" s="78"/>
      <c r="G43" s="78"/>
      <c r="H43" s="78"/>
      <c r="I43" s="327"/>
      <c r="J43" s="330"/>
      <c r="K43" s="331"/>
    </row>
    <row r="44" spans="1:11" ht="18" customHeight="1" x14ac:dyDescent="0.2">
      <c r="A44" s="37" t="s">
        <v>44</v>
      </c>
      <c r="B44" s="26" t="s">
        <v>18</v>
      </c>
      <c r="C44" s="74"/>
      <c r="D44" s="74"/>
      <c r="E44" s="74"/>
      <c r="F44" s="74"/>
      <c r="G44" s="74"/>
      <c r="H44" s="74"/>
      <c r="I44" s="37">
        <f>COUNTIFS(B44:H44,"&lt;&gt;空",B44:H44,"&lt;&gt;休",B44:H44,"&lt;&gt;調",B44:H44,"&lt;&gt;",B44:H44,"&lt;&gt;調整休")</f>
        <v>1</v>
      </c>
      <c r="J44" s="332">
        <f>SUM(COUNTIF(B44:H44,"9-16"))*(6.25)+(COUNTIF(B44:H44,"9-15"))*(5.5)+(COUNTIF(B44:H44,"9-14"))*(4.5)+(COUNTIF(B44:H44,"16-19"))*(3)+(COUNTIF(B44:H44,"15-19"))*(4)+(COUNTIF(B44:H44,"14-19"))*(4.5)+(COUNTIF(B44:H44,"13-19"))*(5.5)+(COUNTIF(B44:H44,"12-19"))*(6.25)</f>
        <v>4.5</v>
      </c>
      <c r="K44" s="333"/>
    </row>
    <row r="45" spans="1:11" ht="18" customHeight="1" x14ac:dyDescent="0.2">
      <c r="A45" s="69" t="s">
        <v>45</v>
      </c>
      <c r="B45" s="11" t="s">
        <v>19</v>
      </c>
      <c r="C45" s="176"/>
      <c r="D45" s="59"/>
      <c r="E45" s="59"/>
      <c r="F45" s="59"/>
      <c r="G45" s="59"/>
      <c r="H45" s="59"/>
      <c r="I45" s="69">
        <f>COUNTIFS(B45:H45,"&lt;&gt;空",B45:H45,"&lt;&gt;休",B45:H45,"&lt;&gt;調",B45:H45,"&lt;&gt;",B45:H45,"&lt;&gt;調整休")</f>
        <v>1</v>
      </c>
      <c r="J45" s="334">
        <f>SUM(COUNTIF(B45:H45,"9-16"))*(6.25)+(COUNTIF(B45:H45,"9-15"))*(5.5)+(COUNTIF(B45:H45,"9-14"))*(4.5)+(COUNTIF(B45:H45,"16-19"))*(3)+(COUNTIF(B45:H45,"15-19"))*(4)+(COUNTIF(B45:H45,"14-19"))*(4.5)+(COUNTIF(B45:H45,"13-19"))*(5.5)+(COUNTIF(B45:H45,"12-19"))*(6.25)</f>
        <v>4.5</v>
      </c>
      <c r="K45" s="335"/>
    </row>
    <row r="46" spans="1:11" ht="18" customHeight="1" x14ac:dyDescent="0.2">
      <c r="A46" s="235"/>
      <c r="B46" s="11"/>
      <c r="C46" s="24"/>
      <c r="D46" s="10"/>
      <c r="E46" s="10"/>
      <c r="F46" s="10"/>
      <c r="G46" s="10"/>
      <c r="H46" s="10"/>
      <c r="I46" s="11"/>
      <c r="J46" s="249"/>
      <c r="K46" s="250"/>
    </row>
    <row r="47" spans="1:11" ht="18" customHeight="1" x14ac:dyDescent="0.2">
      <c r="A47" s="235"/>
      <c r="B47" s="11"/>
      <c r="C47" s="24"/>
      <c r="D47" s="10"/>
      <c r="E47" s="10"/>
      <c r="F47" s="10"/>
      <c r="G47" s="10"/>
      <c r="H47" s="10"/>
      <c r="I47" s="11"/>
      <c r="J47" s="249"/>
      <c r="K47" s="250"/>
    </row>
    <row r="48" spans="1:11" ht="18" customHeight="1" x14ac:dyDescent="0.2">
      <c r="A48" s="35"/>
      <c r="B48" s="36"/>
      <c r="C48" s="36"/>
      <c r="D48" s="36"/>
      <c r="E48" s="36"/>
      <c r="F48" s="36"/>
      <c r="G48" s="36"/>
      <c r="H48" s="36"/>
      <c r="I48" s="269" t="s">
        <v>180</v>
      </c>
      <c r="J48" s="269"/>
      <c r="K48" s="269"/>
    </row>
    <row r="49" spans="1:14" ht="14.4" customHeight="1" x14ac:dyDescent="0.2">
      <c r="A49" s="270" t="s">
        <v>29</v>
      </c>
      <c r="B49" s="271"/>
      <c r="C49" s="12"/>
      <c r="D49" s="272" t="s">
        <v>26</v>
      </c>
      <c r="E49" s="272"/>
      <c r="H49" s="9"/>
      <c r="I49" s="9"/>
      <c r="M49" s="13"/>
      <c r="N49" s="14"/>
    </row>
    <row r="50" spans="1:14" ht="14.4" customHeight="1" x14ac:dyDescent="0.2">
      <c r="A50" s="265" t="s">
        <v>63</v>
      </c>
      <c r="B50" s="266"/>
      <c r="C50" s="267" t="s">
        <v>67</v>
      </c>
      <c r="D50" s="268"/>
      <c r="E50" s="268"/>
      <c r="F50" s="268"/>
      <c r="G50" s="268"/>
      <c r="H50" s="268"/>
      <c r="I50" s="268"/>
      <c r="J50" s="268"/>
      <c r="K50" s="268"/>
      <c r="M50" s="13"/>
      <c r="N50" s="14"/>
    </row>
    <row r="51" spans="1:14" ht="14.4" customHeight="1" x14ac:dyDescent="0.2">
      <c r="A51" s="265" t="s">
        <v>64</v>
      </c>
      <c r="B51" s="266"/>
      <c r="C51" s="267" t="s">
        <v>68</v>
      </c>
      <c r="D51" s="268"/>
      <c r="E51" s="268"/>
      <c r="F51" s="268"/>
      <c r="G51" s="268"/>
      <c r="H51" s="268"/>
      <c r="I51" s="268"/>
      <c r="J51" s="268"/>
      <c r="K51" s="268"/>
    </row>
    <row r="52" spans="1:14" ht="14.4" customHeight="1" x14ac:dyDescent="0.2">
      <c r="A52" s="64" t="s">
        <v>65</v>
      </c>
      <c r="B52" s="65"/>
      <c r="C52" s="282" t="s">
        <v>25</v>
      </c>
      <c r="D52" s="273"/>
      <c r="E52" s="273"/>
      <c r="F52" s="273"/>
      <c r="G52" s="273"/>
      <c r="H52" s="273"/>
      <c r="I52" s="273"/>
      <c r="J52" s="273"/>
      <c r="K52" s="273"/>
    </row>
    <row r="53" spans="1:14" ht="14.4" customHeight="1" x14ac:dyDescent="0.2">
      <c r="A53" s="64" t="s">
        <v>66</v>
      </c>
      <c r="B53" s="65"/>
      <c r="C53" s="66" t="s">
        <v>27</v>
      </c>
      <c r="D53" s="67"/>
      <c r="E53" s="67"/>
      <c r="F53" s="67"/>
      <c r="G53" s="67"/>
      <c r="H53" s="67"/>
      <c r="I53" s="67"/>
      <c r="J53" s="67"/>
      <c r="K53" s="67"/>
    </row>
    <row r="54" spans="1:14" ht="14.4" customHeight="1" x14ac:dyDescent="0.2">
      <c r="A54" s="283"/>
      <c r="B54" s="284"/>
      <c r="C54" s="282" t="s">
        <v>69</v>
      </c>
      <c r="D54" s="273"/>
      <c r="E54" s="273"/>
      <c r="F54" s="273"/>
      <c r="G54" s="273"/>
      <c r="H54" s="273"/>
      <c r="I54" s="273"/>
      <c r="J54" s="273"/>
      <c r="K54" s="273"/>
    </row>
    <row r="55" spans="1:14" ht="14.4" customHeight="1" x14ac:dyDescent="0.2">
      <c r="A55" s="285" t="s">
        <v>169</v>
      </c>
      <c r="B55" s="286"/>
      <c r="C55" s="67" t="s">
        <v>28</v>
      </c>
      <c r="D55" s="67"/>
      <c r="E55" s="67"/>
      <c r="F55" s="67"/>
      <c r="G55" s="67"/>
      <c r="H55" s="67"/>
      <c r="I55" s="67"/>
      <c r="J55" s="67"/>
      <c r="K55" s="67"/>
    </row>
    <row r="56" spans="1:14" ht="14.4" customHeight="1" x14ac:dyDescent="0.2">
      <c r="A56" s="274" t="s">
        <v>188</v>
      </c>
      <c r="B56" s="275"/>
      <c r="C56" s="273" t="s">
        <v>71</v>
      </c>
      <c r="D56" s="273"/>
      <c r="E56" s="273"/>
      <c r="F56" s="273"/>
      <c r="G56" s="273"/>
      <c r="H56" s="273"/>
      <c r="I56" s="273"/>
      <c r="J56" s="273"/>
      <c r="K56" s="273"/>
    </row>
    <row r="57" spans="1:14" ht="14.4" customHeight="1" x14ac:dyDescent="0.2">
      <c r="A57" s="276"/>
      <c r="B57" s="277"/>
      <c r="C57" s="280" t="s">
        <v>170</v>
      </c>
      <c r="D57" s="281"/>
      <c r="E57" s="281"/>
      <c r="F57" s="281"/>
      <c r="G57" s="281"/>
      <c r="H57" s="281"/>
      <c r="I57" s="281"/>
      <c r="J57" s="243"/>
      <c r="K57" s="243"/>
    </row>
    <row r="58" spans="1:14" ht="18" customHeight="1" x14ac:dyDescent="0.2">
      <c r="A58" s="278"/>
      <c r="B58" s="279"/>
      <c r="C58" s="280"/>
      <c r="D58" s="281"/>
      <c r="E58" s="281"/>
      <c r="F58" s="281"/>
      <c r="G58" s="281"/>
      <c r="H58" s="281"/>
      <c r="I58" s="281"/>
    </row>
  </sheetData>
  <mergeCells count="68">
    <mergeCell ref="J5:K5"/>
    <mergeCell ref="A56:B58"/>
    <mergeCell ref="C57:I58"/>
    <mergeCell ref="B1:F1"/>
    <mergeCell ref="H1:K1"/>
    <mergeCell ref="B2:E2"/>
    <mergeCell ref="I3:I4"/>
    <mergeCell ref="J3:K4"/>
    <mergeCell ref="A15:A16"/>
    <mergeCell ref="H15:H16"/>
    <mergeCell ref="I15:I16"/>
    <mergeCell ref="J15:K16"/>
    <mergeCell ref="A6:A7"/>
    <mergeCell ref="H6:H7"/>
    <mergeCell ref="I6:I7"/>
    <mergeCell ref="J6:K7"/>
    <mergeCell ref="J8:K8"/>
    <mergeCell ref="J9:K9"/>
    <mergeCell ref="J10:K10"/>
    <mergeCell ref="J11:K11"/>
    <mergeCell ref="J12:K13"/>
    <mergeCell ref="F14:H14"/>
    <mergeCell ref="J14:K14"/>
    <mergeCell ref="J27:K27"/>
    <mergeCell ref="J17:K17"/>
    <mergeCell ref="J18:K18"/>
    <mergeCell ref="J19:K19"/>
    <mergeCell ref="J20:K20"/>
    <mergeCell ref="J21:K22"/>
    <mergeCell ref="J23:K23"/>
    <mergeCell ref="A24:A25"/>
    <mergeCell ref="H24:H25"/>
    <mergeCell ref="I24:I25"/>
    <mergeCell ref="J24:K25"/>
    <mergeCell ref="J26:K26"/>
    <mergeCell ref="J28:K28"/>
    <mergeCell ref="J29:K29"/>
    <mergeCell ref="J30:K31"/>
    <mergeCell ref="J32:K32"/>
    <mergeCell ref="A33:A34"/>
    <mergeCell ref="H33:H34"/>
    <mergeCell ref="I33:I34"/>
    <mergeCell ref="J33:K34"/>
    <mergeCell ref="J46:K46"/>
    <mergeCell ref="J35:K35"/>
    <mergeCell ref="J36:K36"/>
    <mergeCell ref="J37:K37"/>
    <mergeCell ref="J38:K38"/>
    <mergeCell ref="J39:K40"/>
    <mergeCell ref="J41:K41"/>
    <mergeCell ref="A42:A43"/>
    <mergeCell ref="I42:I43"/>
    <mergeCell ref="J42:K43"/>
    <mergeCell ref="J44:K44"/>
    <mergeCell ref="J45:K45"/>
    <mergeCell ref="J47:K47"/>
    <mergeCell ref="I48:K48"/>
    <mergeCell ref="A49:B49"/>
    <mergeCell ref="D49:E49"/>
    <mergeCell ref="A50:B50"/>
    <mergeCell ref="C50:K50"/>
    <mergeCell ref="C56:K56"/>
    <mergeCell ref="A51:B51"/>
    <mergeCell ref="C51:K51"/>
    <mergeCell ref="C52:K52"/>
    <mergeCell ref="A54:B54"/>
    <mergeCell ref="C54:K54"/>
    <mergeCell ref="A55:B55"/>
  </mergeCells>
  <phoneticPr fontId="13"/>
  <pageMargins left="0.59055118110236227" right="0.27559055118110237" top="0.31496062992125984" bottom="0.11811023622047245" header="0.51181102362204722" footer="0.51181102362204722"/>
  <pageSetup paperSize="9" scale="87"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6BF2D976-C0E7-401A-A5A5-C90C39CBEEC3}">
          <x14:formula1>
            <xm:f>'F:\Users\clmiwa-three\Downloads\[《中村》新田・草加 エリア 仮シフト【12月16日～1月15日】.xlsx]参照データベース'!#REF!</xm:f>
          </x14:formula1>
          <xm:sqref>G1 C48:H48</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E4750D-82DD-4EC5-843C-9BB843552293}">
  <sheetPr>
    <tabColor theme="7" tint="0.59999389629810485"/>
    <pageSetUpPr fitToPage="1"/>
  </sheetPr>
  <dimension ref="A1:Q64"/>
  <sheetViews>
    <sheetView zoomScale="96" zoomScaleNormal="96" workbookViewId="0">
      <selection activeCell="M25" sqref="M25"/>
    </sheetView>
  </sheetViews>
  <sheetFormatPr defaultColWidth="9" defaultRowHeight="16.5" customHeight="1" x14ac:dyDescent="0.2"/>
  <cols>
    <col min="1" max="1" width="11.88671875" style="1" customWidth="1"/>
    <col min="2" max="8" width="10.21875" style="13" customWidth="1"/>
    <col min="9" max="9" width="7.6640625" style="1" customWidth="1"/>
    <col min="10" max="10" width="9" style="1"/>
    <col min="11" max="11" width="3.109375" style="1" customWidth="1"/>
    <col min="12" max="16384" width="9" style="1"/>
  </cols>
  <sheetData>
    <row r="1" spans="1:17" ht="16.5" customHeight="1" thickBot="1" x14ac:dyDescent="0.25">
      <c r="A1" s="53" t="s">
        <v>56</v>
      </c>
      <c r="B1" s="251" t="s">
        <v>167</v>
      </c>
      <c r="C1" s="251"/>
      <c r="D1" s="251"/>
      <c r="E1" s="251"/>
      <c r="F1" s="251"/>
      <c r="H1" s="345" t="s">
        <v>42</v>
      </c>
      <c r="I1" s="346"/>
      <c r="J1" s="346"/>
      <c r="K1" s="347"/>
    </row>
    <row r="2" spans="1:17" ht="10.5" customHeight="1" x14ac:dyDescent="0.2">
      <c r="A2" s="13"/>
      <c r="B2" s="319"/>
      <c r="C2" s="319"/>
      <c r="D2" s="320"/>
      <c r="E2" s="320"/>
      <c r="I2" s="13"/>
      <c r="J2" s="3"/>
      <c r="K2" s="4"/>
    </row>
    <row r="3" spans="1:17" ht="16.5" customHeight="1" x14ac:dyDescent="0.2">
      <c r="A3" s="21" t="s">
        <v>0</v>
      </c>
      <c r="B3" s="22">
        <v>46174</v>
      </c>
      <c r="C3" s="22">
        <v>46175</v>
      </c>
      <c r="D3" s="22">
        <v>46176</v>
      </c>
      <c r="E3" s="22">
        <v>46177</v>
      </c>
      <c r="F3" s="22">
        <v>46178</v>
      </c>
      <c r="G3" s="22">
        <v>46179</v>
      </c>
      <c r="H3" s="22">
        <v>46180</v>
      </c>
      <c r="I3" s="256" t="s">
        <v>1</v>
      </c>
      <c r="J3" s="258" t="s">
        <v>2</v>
      </c>
      <c r="K3" s="259"/>
    </row>
    <row r="4" spans="1:17" ht="16.5" customHeight="1" x14ac:dyDescent="0.2">
      <c r="A4" s="21" t="s">
        <v>3</v>
      </c>
      <c r="B4" s="2" t="s">
        <v>4</v>
      </c>
      <c r="C4" s="20" t="s">
        <v>5</v>
      </c>
      <c r="D4" s="20" t="s">
        <v>6</v>
      </c>
      <c r="E4" s="2" t="s">
        <v>7</v>
      </c>
      <c r="F4" s="2" t="s">
        <v>8</v>
      </c>
      <c r="G4" s="2" t="s">
        <v>9</v>
      </c>
      <c r="H4" s="23" t="s">
        <v>10</v>
      </c>
      <c r="I4" s="257"/>
      <c r="J4" s="260"/>
      <c r="K4" s="261"/>
    </row>
    <row r="5" spans="1:17" ht="18" customHeight="1" x14ac:dyDescent="0.2">
      <c r="A5" s="16" t="s">
        <v>11</v>
      </c>
      <c r="B5" s="11"/>
      <c r="C5" s="2"/>
      <c r="D5" s="2"/>
      <c r="E5" s="11"/>
      <c r="F5" s="11"/>
      <c r="G5" s="11"/>
      <c r="H5" s="11"/>
      <c r="I5" s="5"/>
      <c r="J5" s="249"/>
      <c r="K5" s="250"/>
    </row>
    <row r="6" spans="1:17" ht="18" customHeight="1" x14ac:dyDescent="0.2">
      <c r="A6" s="5" t="s">
        <v>13</v>
      </c>
      <c r="B6" s="57"/>
      <c r="C6" s="87"/>
      <c r="D6" s="28"/>
      <c r="E6" s="11" t="s">
        <v>19</v>
      </c>
      <c r="F6" s="11" t="s">
        <v>18</v>
      </c>
      <c r="G6" s="11" t="s">
        <v>55</v>
      </c>
      <c r="H6" s="15" t="s">
        <v>118</v>
      </c>
      <c r="I6" s="5">
        <f t="shared" ref="I6:I10" si="0">COUNTIFS(B6:H6,"&lt;&gt;空",B6:H6,"&lt;&gt;休",B6:H6,"&lt;&gt;調",B6:H6,"&lt;&gt;",B6:H6,"&lt;&gt;調整休")</f>
        <v>4</v>
      </c>
      <c r="J6" s="321">
        <f>SUM(COUNTIF(B6:H6,"9-11,15-19"))*(6)+(COUNTIF(B6:H6,"9-20"))*(10)+(COUNTIF(B6:H6,"9-19"))*(9)+(COUNTIF(B6:H6,"9-18"))*(8)+(COUNTIF(B6:H6,"9-17"))*(7.25)+(COUNTIF(B6:H6,"9-16"))*(6.25)+(COUNTIF(B6:H6,"9-15"))*(5.5)+(COUNTIF(B6:H6,"9-14"))*(4.5)+(COUNTIF(B6:H6,"9-13,17-20"))*(7)+(COUNTIF(B6:H6,"9-13"))*(4)+(COUNTIF(B6:H6,"9-12,18-20"))*(5)+(COUNTIF(B6:H6,"9-12,16-20"))*(7)+(COUNTIF(B6:H6,"9-12,16-19"))*(6)+(COUNTIF(B6:H6,"9-13,16-20"))*(6)+(COUNTIF(B6:H6,"9-12"))*(3)+(COUNTIF(B6:H6,"9-11:30"))*(2.5)+(COUNTIF(B6:H6,"9-11,16-19"))*(5)+(COUNTIF(B6:H6,"9-11"))*(2)+(COUNTIF(B6:H6,"9:30-11:30,16-19"))*(5)+(COUNTIF(B6:H6,"19-20"))*(1)+(COUNTIF(B6:H6,"17-20"))*(3)+(COUNTIF(B6:H6,"16-20"))*(4)+(COUNTIF(B6:H6,"15-20"))*(4.5)+(COUNTIF(B6:H6,"15-19"))*(4)+(COUNTIF(B6:H6,"14-20"))*(5.5)+(COUNTIF(B6:H6,"14-19"))*(4.5)+(COUNTIF(B6:H6,"14:30-20"))*(5)+(COUNTIF(B6:H6,"13-20"))*(6.25)+(COUNTIF(B6:H6,"13-19"))*(5.5)+(COUNTIF(B6:H6,"13-18"))*(4.5)+(COUNTIF(B6:H6,"13-17"))*(4)+(COUNTIF(B6:H6,"12-20"))*(7.25)+(COUNTIF(B6:H6,"10-20"))*(9)+(COUNTIF(B6:H6,"10-15"))*(4.5)+(COUNTIF(B6:H6,"12-18"))*(5.5)+(COUNTIF(B6:H6,"10-12,14-19"))*(6.5)+(COUNTIF(B6:H6,"10-14"))*(4)+(COUNTIF(B6:H6,"9-11・14-19"))*(6.5)</f>
        <v>19.5</v>
      </c>
      <c r="K6" s="322"/>
    </row>
    <row r="7" spans="1:17" ht="18" customHeight="1" x14ac:dyDescent="0.2">
      <c r="A7" s="19" t="s">
        <v>73</v>
      </c>
      <c r="B7" s="11" t="s">
        <v>18</v>
      </c>
      <c r="C7" s="179"/>
      <c r="D7" s="30"/>
      <c r="E7" s="11" t="s">
        <v>18</v>
      </c>
      <c r="F7" s="52"/>
      <c r="G7" s="11" t="s">
        <v>20</v>
      </c>
      <c r="H7" s="11" t="s">
        <v>18</v>
      </c>
      <c r="I7" s="5">
        <f t="shared" si="0"/>
        <v>4</v>
      </c>
      <c r="J7" s="321">
        <f t="shared" ref="J7" si="1">SUM(COUNTIF(B7:H7,"9-11,15-19"))*(6)+(COUNTIF(B7:H7,"9-20"))*(10)+(COUNTIF(B7:H7,"9-19"))*(9)+(COUNTIF(B7:H7,"9-18"))*(8)+(COUNTIF(B7:H7,"9-17"))*(7.25)+(COUNTIF(B7:H7,"9-16"))*(6.25)+(COUNTIF(B7:H7,"9-15"))*(5.5)+(COUNTIF(B7:H7,"9-14"))*(4.5)+(COUNTIF(B7:H7,"9-13,17-20"))*(7)+(COUNTIF(B7:H7,"9-13"))*(4)+(COUNTIF(B7:H7,"9-12,18-20"))*(5)+(COUNTIF(B7:H7,"9-12,16-20"))*(7)+(COUNTIF(B7:H7,"9-12,16-19"))*(6)+(COUNTIF(B7:H7,"9-13,16-20"))*(6)+(COUNTIF(B7:H7,"9-12"))*(3)+(COUNTIF(B7:H7,"9-11:30"))*(2.5)+(COUNTIF(B7:H7,"9-11,16-19"))*(5)+(COUNTIF(B7:H7,"9-11"))*(2)+(COUNTIF(B7:H7,"9:30-11:30,16-19"))*(5)+(COUNTIF(B7:H7,"19-20"))*(1)+(COUNTIF(B7:H7,"17-20"))*(3)+(COUNTIF(B7:H7,"16-20"))*(4)+(COUNTIF(B7:H7,"15-20"))*(4.5)+(COUNTIF(B7:H7,"15-19"))*(4)+(COUNTIF(B7:H7,"14-20"))*(5.5)+(COUNTIF(B7:H7,"14-19"))*(4.5)+(COUNTIF(B7:H7,"14:30-20"))*(5)+(COUNTIF(B7:H7,"13-20"))*(6.25)+(COUNTIF(B7:H7,"13-19"))*(5.5)+(COUNTIF(B7:H7,"13-18"))*(4.5)+(COUNTIF(B7:H7,"13-17"))*(4)+(COUNTIF(B7:H7,"12-20"))*(7.25)+(COUNTIF(B7:H7,"10-20"))*(9)+(COUNTIF(B7:H7,"10-15"))*(4.5)+(COUNTIF(B7:H7,"12-18"))*(5.5)+(COUNTIF(B7:H7,"10-12,14-19"))*(6.5)+(COUNTIF(B7:H7,"10-14"))*(4)</f>
        <v>19</v>
      </c>
      <c r="K7" s="322"/>
    </row>
    <row r="8" spans="1:17" ht="18" customHeight="1" x14ac:dyDescent="0.2">
      <c r="A8" s="19" t="s">
        <v>133</v>
      </c>
      <c r="B8" s="11" t="s">
        <v>113</v>
      </c>
      <c r="C8" s="39"/>
      <c r="D8" s="40"/>
      <c r="E8" s="15"/>
      <c r="F8" s="11" t="s">
        <v>113</v>
      </c>
      <c r="G8" s="11" t="s">
        <v>113</v>
      </c>
      <c r="H8" s="11" t="s">
        <v>113</v>
      </c>
      <c r="I8" s="5">
        <f t="shared" si="0"/>
        <v>4</v>
      </c>
      <c r="J8" s="321">
        <f>SUM(COUNTIF(B8:H8,"9-11,15-19"))*(6)+(COUNTIF(B8:H8,"9-20"))*(10)+(COUNTIF(B8:H8,"9-19"))*(9)+(COUNTIF(B8:H8,"9-18"))*(8)+(COUNTIF(B8:H8,"9-17"))*(7.25)+(COUNTIF(B8:H8,"9-16"))*(6.25)+(COUNTIF(B8:H8,"9-15"))*(5.5)+(COUNTIF(B8:H8,"9-14"))*(4.5)+(COUNTIF(B8:H8,"9-13,17-20"))*(7)+(COUNTIF(B8:H8,"9-13"))*(4)+(COUNTIF(B8:H8,"9-12,18-20"))*(5)+(COUNTIF(B8:H8,"9-12,16-20"))*(7)+(COUNTIF(B8:H8,"9-12,16-19"))*(6)+(COUNTIF(B8:H8,"9-13,16-20"))*(6)+(COUNTIF(B8:H8,"9-12"))*(3)+(COUNTIF(B8:H8,"9-11:30"))*(2.5)+(COUNTIF(B8:H8,"9-11,16-19"))*(5)+(COUNTIF(B8:H8,"9-11"))*(2)+(COUNTIF(B8:H8,"9:30-11:30,16-19"))*(5)+(COUNTIF(B8:H8,"19-20"))*(1)+(COUNTIF(B8:H8,"17-20"))*(3)+(COUNTIF(B8:H8,"16-20"))*(4)+(COUNTIF(B8:H8,"15-20"))*(4.5)+(COUNTIF(B8:H8,"15-19"))*(4)+(COUNTIF(B8:H8,"14-20"))*(5.5)+(COUNTIF(B8:H8,"14-19"))*(4.5)+(COUNTIF(B8:H8,"14:30-20"))*(5)+(COUNTIF(B8:H8,"13-20"))*(6.25)+(COUNTIF(B8:H8,"13-19"))*(5.5)+(COUNTIF(B8:H8,"13-18"))*(4.5)+(COUNTIF(B8:H8,"13-17"))*(4)+(COUNTIF(B8:H8,"12-20"))*(7.25)+(COUNTIF(B8:H8,"10-20"))*(9)+(COUNTIF(B8:H8,"10-15"))*(4.5)+(COUNTIF(B8:H8,"12-18"))*(5.5)+(COUNTIF(B8:H8,"10-12,14-19"))*(6.5)+(COUNTIF(B8:H8,"10-14"))*(4)+(COUNTIF(B8:H8,"11-19"))*(7)</f>
        <v>28</v>
      </c>
      <c r="K8" s="322"/>
      <c r="Q8" s="178"/>
    </row>
    <row r="9" spans="1:17" ht="18" customHeight="1" x14ac:dyDescent="0.2">
      <c r="A9" s="237" t="s">
        <v>162</v>
      </c>
      <c r="B9" s="11" t="s">
        <v>19</v>
      </c>
      <c r="C9" s="39"/>
      <c r="D9" s="40"/>
      <c r="E9" s="11" t="s">
        <v>19</v>
      </c>
      <c r="F9" s="11" t="s">
        <v>19</v>
      </c>
      <c r="G9" s="11" t="s">
        <v>19</v>
      </c>
      <c r="H9" s="212"/>
      <c r="I9" s="5">
        <f t="shared" si="0"/>
        <v>4</v>
      </c>
      <c r="J9" s="321">
        <f t="shared" ref="J9:J10" si="2">SUM(COUNTIF(B9:H9,"9-11,15-19"))*(6)+(COUNTIF(B9:H9,"9-20"))*(10)+(COUNTIF(B9:H9,"9-19"))*(9)+(COUNTIF(B9:H9,"9-18"))*(8)+(COUNTIF(B9:H9,"9-17"))*(7.25)+(COUNTIF(B9:H9,"9-16"))*(6.25)+(COUNTIF(B9:H9,"9-15"))*(5.5)+(COUNTIF(B9:H9,"9-14"))*(4.5)+(COUNTIF(B9:H9,"9-13,17-20"))*(7)+(COUNTIF(B9:H9,"9-13"))*(4)+(COUNTIF(B9:H9,"9-12,18-20"))*(5)+(COUNTIF(B9:H9,"9-12,16-20"))*(7)+(COUNTIF(B9:H9,"9-12,16-19"))*(6)+(COUNTIF(B9:H9,"9-13,16-20"))*(6)+(COUNTIF(B9:H9,"9-12"))*(3)+(COUNTIF(B9:H9,"9-11:30"))*(2.5)+(COUNTIF(B9:H9,"9-11,16-19"))*(5)+(COUNTIF(B9:H9,"9-11"))*(2)+(COUNTIF(B9:H9,"9:30-11:30,16-19"))*(5)+(COUNTIF(B9:H9,"19-20"))*(1)+(COUNTIF(B9:H9,"17-20"))*(3)+(COUNTIF(B9:H9,"16-20"))*(4)+(COUNTIF(B9:H9,"15-20"))*(4.5)+(COUNTIF(B9:H9,"15-19"))*(4)+(COUNTIF(B9:H9,"14-20"))*(5.5)+(COUNTIF(B9:H9,"14-19"))*(4.5)+(COUNTIF(B9:H9,"14:30-20"))*(5)+(COUNTIF(B9:H9,"13-20"))*(6.25)+(COUNTIF(B9:H9,"13-19"))*(5.5)+(COUNTIF(B9:H9,"13-18"))*(4.5)+(COUNTIF(B9:H9,"13-17"))*(4)+(COUNTIF(B9:H9,"12-20"))*(7.25)+(COUNTIF(B9:H9,"10-20"))*(9)+(COUNTIF(B9:H9,"10-15"))*(4.5)+(COUNTIF(B9:H9,"12-18"))*(5.5)+(COUNTIF(B9:H9,"10-12,14-19"))*(6.5)+(COUNTIF(B9:H9,"10-14"))*(4)+(COUNTIF(B9:H9,"11-19"))*(7)</f>
        <v>18</v>
      </c>
      <c r="K9" s="322"/>
      <c r="Q9" s="178"/>
    </row>
    <row r="10" spans="1:17" ht="18" customHeight="1" x14ac:dyDescent="0.2">
      <c r="A10" s="237" t="s">
        <v>168</v>
      </c>
      <c r="B10" s="11"/>
      <c r="C10" s="39"/>
      <c r="D10" s="40"/>
      <c r="E10" s="11"/>
      <c r="F10" s="11"/>
      <c r="G10" s="11"/>
      <c r="H10" s="11"/>
      <c r="I10" s="5">
        <f t="shared" si="0"/>
        <v>0</v>
      </c>
      <c r="J10" s="321">
        <f t="shared" si="2"/>
        <v>0</v>
      </c>
      <c r="K10" s="322"/>
      <c r="Q10" s="178"/>
    </row>
    <row r="11" spans="1:17" ht="19.5" customHeight="1" x14ac:dyDescent="0.2">
      <c r="A11" s="27" t="s">
        <v>53</v>
      </c>
      <c r="B11" s="15"/>
      <c r="C11" s="39"/>
      <c r="D11" s="40"/>
      <c r="E11" s="15" t="s">
        <v>154</v>
      </c>
      <c r="F11" s="15"/>
      <c r="G11" s="234" t="s">
        <v>181</v>
      </c>
      <c r="H11" s="15"/>
      <c r="I11" s="5"/>
      <c r="J11" s="321"/>
      <c r="K11" s="322"/>
    </row>
    <row r="12" spans="1:17" ht="18" customHeight="1" x14ac:dyDescent="0.2">
      <c r="A12" s="27" t="s">
        <v>53</v>
      </c>
      <c r="B12" s="234" t="s">
        <v>117</v>
      </c>
      <c r="C12" s="39"/>
      <c r="D12" s="40"/>
      <c r="E12" s="234"/>
      <c r="F12" s="234" t="s">
        <v>117</v>
      </c>
      <c r="G12" s="234"/>
      <c r="H12" s="234"/>
      <c r="I12" s="5"/>
      <c r="J12" s="249"/>
      <c r="K12" s="250"/>
    </row>
    <row r="13" spans="1:17" ht="16.5" customHeight="1" x14ac:dyDescent="0.2">
      <c r="A13" s="29" t="s">
        <v>0</v>
      </c>
      <c r="B13" s="46">
        <v>46181</v>
      </c>
      <c r="C13" s="46">
        <v>46182</v>
      </c>
      <c r="D13" s="46">
        <v>46183</v>
      </c>
      <c r="E13" s="46">
        <v>46184</v>
      </c>
      <c r="F13" s="46">
        <v>46185</v>
      </c>
      <c r="G13" s="46">
        <v>46186</v>
      </c>
      <c r="H13" s="46">
        <v>46187</v>
      </c>
      <c r="I13" s="256" t="s">
        <v>1</v>
      </c>
      <c r="J13" s="258" t="s">
        <v>2</v>
      </c>
      <c r="K13" s="259"/>
    </row>
    <row r="14" spans="1:17" ht="16.5" customHeight="1" x14ac:dyDescent="0.2">
      <c r="A14" s="21" t="s">
        <v>3</v>
      </c>
      <c r="B14" s="2" t="s">
        <v>4</v>
      </c>
      <c r="C14" s="20" t="s">
        <v>5</v>
      </c>
      <c r="D14" s="20" t="s">
        <v>6</v>
      </c>
      <c r="E14" s="2" t="s">
        <v>7</v>
      </c>
      <c r="F14" s="2" t="s">
        <v>8</v>
      </c>
      <c r="G14" s="2" t="s">
        <v>9</v>
      </c>
      <c r="H14" s="23" t="s">
        <v>10</v>
      </c>
      <c r="I14" s="257"/>
      <c r="J14" s="260"/>
      <c r="K14" s="261"/>
    </row>
    <row r="15" spans="1:17" ht="18" customHeight="1" x14ac:dyDescent="0.2">
      <c r="A15" s="16" t="s">
        <v>12</v>
      </c>
      <c r="B15" s="11"/>
      <c r="C15" s="2"/>
      <c r="D15" s="2"/>
      <c r="E15" s="11"/>
      <c r="F15" s="264" t="s">
        <v>50</v>
      </c>
      <c r="G15" s="264"/>
      <c r="H15" s="264"/>
      <c r="I15" s="5"/>
      <c r="J15" s="249"/>
      <c r="K15" s="250"/>
    </row>
    <row r="16" spans="1:17" ht="18" customHeight="1" x14ac:dyDescent="0.2">
      <c r="A16" s="5" t="s">
        <v>13</v>
      </c>
      <c r="B16" s="57"/>
      <c r="C16" s="87"/>
      <c r="D16" s="28"/>
      <c r="E16" s="11" t="s">
        <v>19</v>
      </c>
      <c r="F16" s="11" t="s">
        <v>19</v>
      </c>
      <c r="G16" s="11" t="s">
        <v>19</v>
      </c>
      <c r="H16" s="15" t="s">
        <v>118</v>
      </c>
      <c r="I16" s="5">
        <f t="shared" ref="I16:I20" si="3">COUNTIFS(B16:H16,"&lt;&gt;空",B16:H16,"&lt;&gt;休",B16:H16,"&lt;&gt;調",B16:H16,"&lt;&gt;",B16:H16,"&lt;&gt;調整休")</f>
        <v>4</v>
      </c>
      <c r="J16" s="321">
        <v>30.5</v>
      </c>
      <c r="K16" s="322"/>
    </row>
    <row r="17" spans="1:11" ht="18" customHeight="1" x14ac:dyDescent="0.2">
      <c r="A17" s="19" t="s">
        <v>73</v>
      </c>
      <c r="B17" s="11" t="s">
        <v>18</v>
      </c>
      <c r="C17" s="179"/>
      <c r="D17" s="30"/>
      <c r="E17" s="57"/>
      <c r="F17" s="11" t="s">
        <v>18</v>
      </c>
      <c r="G17" s="11" t="s">
        <v>18</v>
      </c>
      <c r="H17" s="11" t="s">
        <v>18</v>
      </c>
      <c r="I17" s="5">
        <f t="shared" si="3"/>
        <v>4</v>
      </c>
      <c r="J17" s="321">
        <f t="shared" ref="J17" si="4">SUM(COUNTIF(B17:H17,"9-11,15-19"))*(6)+(COUNTIF(B17:H17,"9-20"))*(10)+(COUNTIF(B17:H17,"9-19"))*(9)+(COUNTIF(B17:H17,"9-18"))*(8)+(COUNTIF(B17:H17,"9-17"))*(7.25)+(COUNTIF(B17:H17,"9-16"))*(6.25)+(COUNTIF(B17:H17,"9-15"))*(5.5)+(COUNTIF(B17:H17,"9-14"))*(4.5)+(COUNTIF(B17:H17,"9-13,17-20"))*(7)+(COUNTIF(B17:H17,"9-13"))*(4)+(COUNTIF(B17:H17,"9-12,18-20"))*(5)+(COUNTIF(B17:H17,"9-12,16-20"))*(7)+(COUNTIF(B17:H17,"9-12,16-19"))*(6)+(COUNTIF(B17:H17,"9-13,16-20"))*(6)+(COUNTIF(B17:H17,"9-12"))*(3)+(COUNTIF(B17:H17,"9-11:30"))*(2.5)+(COUNTIF(B17:H17,"9-11,16-19"))*(5)+(COUNTIF(B17:H17,"9-11"))*(2)+(COUNTIF(B17:H17,"9:30-11:30,16-19"))*(5)+(COUNTIF(B17:H17,"19-20"))*(1)+(COUNTIF(B17:H17,"17-20"))*(3)+(COUNTIF(B17:H17,"16-20"))*(4)+(COUNTIF(B17:H17,"15-20"))*(4.5)+(COUNTIF(B17:H17,"15-19"))*(4)+(COUNTIF(B17:H17,"14-20"))*(5.5)+(COUNTIF(B17:H17,"14-19"))*(4.5)+(COUNTIF(B17:H17,"14:30-20"))*(5)+(COUNTIF(B17:H17,"13-20"))*(6.25)+(COUNTIF(B17:H17,"13-19"))*(5.5)+(COUNTIF(B17:H17,"13-18"))*(4.5)+(COUNTIF(B17:H17,"13-17"))*(4)+(COUNTIF(B17:H17,"12-20"))*(7.25)+(COUNTIF(B17:H17,"10-20"))*(9)+(COUNTIF(B17:H17,"10-15"))*(4.5)+(COUNTIF(B17:H17,"12-18"))*(5.5)+(COUNTIF(B17:H17,"10-12,14-19"))*(6.5)+(COUNTIF(B17:H17,"10-14"))*(4)</f>
        <v>18</v>
      </c>
      <c r="K17" s="322"/>
    </row>
    <row r="18" spans="1:11" ht="18" customHeight="1" x14ac:dyDescent="0.2">
      <c r="A18" s="19" t="s">
        <v>133</v>
      </c>
      <c r="B18" s="11"/>
      <c r="C18" s="39"/>
      <c r="D18" s="40"/>
      <c r="E18" s="15"/>
      <c r="F18" s="11" t="s">
        <v>113</v>
      </c>
      <c r="G18" s="11" t="s">
        <v>113</v>
      </c>
      <c r="H18" s="11" t="s">
        <v>113</v>
      </c>
      <c r="I18" s="5">
        <f t="shared" si="3"/>
        <v>3</v>
      </c>
      <c r="J18" s="321">
        <f>SUM(COUNTIF(B18:H18,"9-11,15-19"))*(6)+(COUNTIF(B18:H18,"9-20"))*(10)+(COUNTIF(B18:H18,"9-19"))*(9)+(COUNTIF(B18:H18,"9-18"))*(8)+(COUNTIF(B18:H18,"9-17"))*(7.25)+(COUNTIF(B18:H18,"9-16"))*(6.25)+(COUNTIF(B18:H18,"9-15"))*(5.5)+(COUNTIF(B18:H18,"9-14"))*(4.5)+(COUNTIF(B18:H18,"9-13,17-20"))*(7)+(COUNTIF(B18:H18,"9-13"))*(4)+(COUNTIF(B18:H18,"9-12,18-20"))*(5)+(COUNTIF(B18:H18,"9-12,16-20"))*(7)+(COUNTIF(B18:H18,"9-12,16-19"))*(6)+(COUNTIF(B18:H18,"9-13,16-20"))*(6)+(COUNTIF(B18:H18,"9-12"))*(3)+(COUNTIF(B18:H18,"9-11:30"))*(2.5)+(COUNTIF(B18:H18,"9-11,16-19"))*(5)+(COUNTIF(B18:H18,"9-11"))*(2)+(COUNTIF(B18:H18,"9:30-11:30,16-19"))*(5)+(COUNTIF(B18:H18,"19-20"))*(1)+(COUNTIF(B18:H18,"17-20"))*(3)+(COUNTIF(B18:H18,"16-20"))*(4)+(COUNTIF(B18:H18,"15-20"))*(4.5)+(COUNTIF(B18:H18,"15-19"))*(4)+(COUNTIF(B18:H18,"14-20"))*(5.5)+(COUNTIF(B18:H18,"14-19"))*(4.5)+(COUNTIF(B18:H18,"14:30-20"))*(5)+(COUNTIF(B18:H18,"13-20"))*(6.25)+(COUNTIF(B18:H18,"13-19"))*(5.5)+(COUNTIF(B18:H18,"13-18"))*(4.5)+(COUNTIF(B18:H18,"13-17"))*(4)+(COUNTIF(B18:H18,"12-20"))*(7.25)+(COUNTIF(B18:H18,"10-20"))*(9)+(COUNTIF(B18:H18,"10-15"))*(4.5)+(COUNTIF(B18:H18,"12-18"))*(5.5)+(COUNTIF(B18:H18,"10-12,14-19"))*(6.5)+(COUNTIF(B18:H18,"10-14"))*(4)+(COUNTIF(B18:H18,"11-19"))*(7)</f>
        <v>21</v>
      </c>
      <c r="K18" s="322"/>
    </row>
    <row r="19" spans="1:11" ht="18" customHeight="1" x14ac:dyDescent="0.2">
      <c r="A19" s="237" t="s">
        <v>162</v>
      </c>
      <c r="B19" s="11" t="s">
        <v>19</v>
      </c>
      <c r="C19" s="39"/>
      <c r="D19" s="40"/>
      <c r="E19" s="11" t="s">
        <v>19</v>
      </c>
      <c r="F19" s="11" t="s">
        <v>19</v>
      </c>
      <c r="G19" s="11" t="s">
        <v>19</v>
      </c>
      <c r="H19" s="212"/>
      <c r="I19" s="5">
        <f t="shared" si="3"/>
        <v>4</v>
      </c>
      <c r="J19" s="321">
        <f t="shared" ref="J19:J20" si="5">SUM(COUNTIF(B19:H19,"9-11,15-19"))*(6)+(COUNTIF(B19:H19,"9-20"))*(10)+(COUNTIF(B19:H19,"9-19"))*(9)+(COUNTIF(B19:H19,"9-18"))*(8)+(COUNTIF(B19:H19,"9-17"))*(7.25)+(COUNTIF(B19:H19,"9-16"))*(6.25)+(COUNTIF(B19:H19,"9-15"))*(5.5)+(COUNTIF(B19:H19,"9-14"))*(4.5)+(COUNTIF(B19:H19,"9-13,17-20"))*(7)+(COUNTIF(B19:H19,"9-13"))*(4)+(COUNTIF(B19:H19,"9-12,18-20"))*(5)+(COUNTIF(B19:H19,"9-12,16-20"))*(7)+(COUNTIF(B19:H19,"9-12,16-19"))*(6)+(COUNTIF(B19:H19,"9-13,16-20"))*(6)+(COUNTIF(B19:H19,"9-12"))*(3)+(COUNTIF(B19:H19,"9-11:30"))*(2.5)+(COUNTIF(B19:H19,"9-11,16-19"))*(5)+(COUNTIF(B19:H19,"9-11"))*(2)+(COUNTIF(B19:H19,"9:30-11:30,16-19"))*(5)+(COUNTIF(B19:H19,"19-20"))*(1)+(COUNTIF(B19:H19,"17-20"))*(3)+(COUNTIF(B19:H19,"16-20"))*(4)+(COUNTIF(B19:H19,"15-20"))*(4.5)+(COUNTIF(B19:H19,"15-19"))*(4)+(COUNTIF(B19:H19,"14-20"))*(5.5)+(COUNTIF(B19:H19,"14-19"))*(4.5)+(COUNTIF(B19:H19,"14:30-20"))*(5)+(COUNTIF(B19:H19,"13-20"))*(6.25)+(COUNTIF(B19:H19,"13-19"))*(5.5)+(COUNTIF(B19:H19,"13-18"))*(4.5)+(COUNTIF(B19:H19,"13-17"))*(4)+(COUNTIF(B19:H19,"12-20"))*(7.25)+(COUNTIF(B19:H19,"10-20"))*(9)+(COUNTIF(B19:H19,"10-15"))*(4.5)+(COUNTIF(B19:H19,"12-18"))*(5.5)+(COUNTIF(B19:H19,"10-12,14-19"))*(6.5)+(COUNTIF(B19:H19,"10-14"))*(4)+(COUNTIF(B19:H19,"11-19"))*(7)</f>
        <v>18</v>
      </c>
      <c r="K19" s="322"/>
    </row>
    <row r="20" spans="1:11" ht="18" customHeight="1" x14ac:dyDescent="0.2">
      <c r="A20" s="237" t="s">
        <v>168</v>
      </c>
      <c r="B20" s="11"/>
      <c r="C20" s="39"/>
      <c r="D20" s="40"/>
      <c r="E20" s="11"/>
      <c r="F20" s="11"/>
      <c r="G20" s="11"/>
      <c r="H20" s="11"/>
      <c r="I20" s="5">
        <f t="shared" si="3"/>
        <v>0</v>
      </c>
      <c r="J20" s="321">
        <f t="shared" si="5"/>
        <v>0</v>
      </c>
      <c r="K20" s="322"/>
    </row>
    <row r="21" spans="1:11" ht="18" customHeight="1" x14ac:dyDescent="0.2">
      <c r="A21" s="27" t="s">
        <v>53</v>
      </c>
      <c r="B21" s="15"/>
      <c r="C21" s="39"/>
      <c r="D21" s="40"/>
      <c r="E21" s="15" t="s">
        <v>154</v>
      </c>
      <c r="F21" s="15" t="s">
        <v>159</v>
      </c>
      <c r="G21" s="15" t="s">
        <v>156</v>
      </c>
      <c r="H21" s="15"/>
      <c r="I21" s="5"/>
      <c r="J21" s="321"/>
      <c r="K21" s="322"/>
    </row>
    <row r="22" spans="1:11" ht="18" customHeight="1" x14ac:dyDescent="0.2">
      <c r="A22" s="27" t="s">
        <v>53</v>
      </c>
      <c r="B22" s="234" t="s">
        <v>117</v>
      </c>
      <c r="C22" s="39"/>
      <c r="D22" s="40"/>
      <c r="E22" s="234" t="s">
        <v>128</v>
      </c>
      <c r="F22" s="15"/>
      <c r="G22" s="234"/>
      <c r="H22" s="234"/>
      <c r="I22" s="5"/>
      <c r="J22" s="249"/>
      <c r="K22" s="250"/>
    </row>
    <row r="23" spans="1:11" ht="16.5" customHeight="1" x14ac:dyDescent="0.2">
      <c r="A23" s="21" t="s">
        <v>0</v>
      </c>
      <c r="B23" s="22">
        <v>46188</v>
      </c>
      <c r="C23" s="22">
        <v>46189</v>
      </c>
      <c r="D23" s="22">
        <v>46190</v>
      </c>
      <c r="E23" s="22">
        <v>46191</v>
      </c>
      <c r="F23" s="22">
        <v>46192</v>
      </c>
      <c r="G23" s="22">
        <v>46193</v>
      </c>
      <c r="H23" s="22">
        <v>46194</v>
      </c>
      <c r="I23" s="256" t="s">
        <v>1</v>
      </c>
      <c r="J23" s="258" t="s">
        <v>2</v>
      </c>
      <c r="K23" s="259"/>
    </row>
    <row r="24" spans="1:11" ht="16.5" customHeight="1" x14ac:dyDescent="0.2">
      <c r="A24" s="21" t="s">
        <v>3</v>
      </c>
      <c r="B24" s="2" t="s">
        <v>4</v>
      </c>
      <c r="C24" s="20" t="s">
        <v>5</v>
      </c>
      <c r="D24" s="20" t="s">
        <v>6</v>
      </c>
      <c r="E24" s="2" t="s">
        <v>7</v>
      </c>
      <c r="F24" s="2" t="s">
        <v>8</v>
      </c>
      <c r="G24" s="2" t="s">
        <v>9</v>
      </c>
      <c r="H24" s="23" t="s">
        <v>10</v>
      </c>
      <c r="I24" s="257"/>
      <c r="J24" s="260"/>
      <c r="K24" s="261"/>
    </row>
    <row r="25" spans="1:11" ht="18" customHeight="1" x14ac:dyDescent="0.2">
      <c r="A25" s="16" t="s">
        <v>11</v>
      </c>
      <c r="B25" s="11"/>
      <c r="C25" s="2"/>
      <c r="D25" s="2"/>
      <c r="E25" s="11"/>
      <c r="F25" s="11"/>
      <c r="G25" s="11"/>
      <c r="H25" s="11"/>
      <c r="I25" s="5"/>
      <c r="J25" s="323"/>
      <c r="K25" s="250"/>
    </row>
    <row r="26" spans="1:11" ht="18" customHeight="1" x14ac:dyDescent="0.2">
      <c r="A26" s="5" t="s">
        <v>13</v>
      </c>
      <c r="B26" s="11" t="s">
        <v>18</v>
      </c>
      <c r="C26" s="87"/>
      <c r="D26" s="28"/>
      <c r="E26" s="11" t="s">
        <v>19</v>
      </c>
      <c r="F26" s="11" t="s">
        <v>19</v>
      </c>
      <c r="G26" s="15" t="s">
        <v>118</v>
      </c>
      <c r="H26" s="11" t="s">
        <v>19</v>
      </c>
      <c r="I26" s="5">
        <f t="shared" ref="I26:I30" si="6">COUNTIFS(B26:H26,"&lt;&gt;空",B26:H26,"&lt;&gt;休",B26:H26,"&lt;&gt;調",B26:H26,"&lt;&gt;",B26:H26,"&lt;&gt;調整休")</f>
        <v>5</v>
      </c>
      <c r="J26" s="321">
        <v>24.5</v>
      </c>
      <c r="K26" s="322"/>
    </row>
    <row r="27" spans="1:11" ht="18" customHeight="1" x14ac:dyDescent="0.2">
      <c r="A27" s="19" t="s">
        <v>73</v>
      </c>
      <c r="B27" s="52"/>
      <c r="C27" s="179"/>
      <c r="D27" s="30"/>
      <c r="E27" s="11" t="s">
        <v>18</v>
      </c>
      <c r="F27" s="11" t="s">
        <v>18</v>
      </c>
      <c r="G27" s="11" t="s">
        <v>18</v>
      </c>
      <c r="H27" s="11" t="s">
        <v>18</v>
      </c>
      <c r="I27" s="5">
        <f t="shared" si="6"/>
        <v>4</v>
      </c>
      <c r="J27" s="321">
        <f t="shared" ref="J27" si="7">SUM(COUNTIF(B27:H27,"9-11,15-19"))*(6)+(COUNTIF(B27:H27,"9-20"))*(10)+(COUNTIF(B27:H27,"9-19"))*(9)+(COUNTIF(B27:H27,"9-18"))*(8)+(COUNTIF(B27:H27,"9-17"))*(7.25)+(COUNTIF(B27:H27,"9-16"))*(6.25)+(COUNTIF(B27:H27,"9-15"))*(5.5)+(COUNTIF(B27:H27,"9-14"))*(4.5)+(COUNTIF(B27:H27,"9-13,17-20"))*(7)+(COUNTIF(B27:H27,"9-13"))*(4)+(COUNTIF(B27:H27,"9-12,18-20"))*(5)+(COUNTIF(B27:H27,"9-12,16-20"))*(7)+(COUNTIF(B27:H27,"9-12,16-19"))*(6)+(COUNTIF(B27:H27,"9-13,16-20"))*(6)+(COUNTIF(B27:H27,"9-12"))*(3)+(COUNTIF(B27:H27,"9-11:30"))*(2.5)+(COUNTIF(B27:H27,"9-11,16-19"))*(5)+(COUNTIF(B27:H27,"9-11"))*(2)+(COUNTIF(B27:H27,"9:30-11:30,16-19"))*(5)+(COUNTIF(B27:H27,"19-20"))*(1)+(COUNTIF(B27:H27,"17-20"))*(3)+(COUNTIF(B27:H27,"16-20"))*(4)+(COUNTIF(B27:H27,"15-20"))*(4.5)+(COUNTIF(B27:H27,"15-19"))*(4)+(COUNTIF(B27:H27,"14-20"))*(5.5)+(COUNTIF(B27:H27,"14-19"))*(4.5)+(COUNTIF(B27:H27,"14:30-20"))*(5)+(COUNTIF(B27:H27,"13-20"))*(6.25)+(COUNTIF(B27:H27,"13-19"))*(5.5)+(COUNTIF(B27:H27,"13-18"))*(4.5)+(COUNTIF(B27:H27,"13-17"))*(4)+(COUNTIF(B27:H27,"12-20"))*(7.25)+(COUNTIF(B27:H27,"10-20"))*(9)+(COUNTIF(B27:H27,"10-15"))*(4.5)+(COUNTIF(B27:H27,"12-18"))*(5.5)+(COUNTIF(B27:H27,"10-12,14-19"))*(6.5)+(COUNTIF(B27:H27,"10-14"))*(4)</f>
        <v>18</v>
      </c>
      <c r="K27" s="322"/>
    </row>
    <row r="28" spans="1:11" ht="18" customHeight="1" x14ac:dyDescent="0.2">
      <c r="A28" s="19" t="s">
        <v>133</v>
      </c>
      <c r="B28" s="11"/>
      <c r="C28" s="39"/>
      <c r="D28" s="40"/>
      <c r="E28" s="15"/>
      <c r="F28" s="11" t="s">
        <v>113</v>
      </c>
      <c r="G28" s="11" t="s">
        <v>113</v>
      </c>
      <c r="H28" s="52"/>
      <c r="I28" s="5">
        <f t="shared" si="6"/>
        <v>2</v>
      </c>
      <c r="J28" s="321">
        <f>SUM(COUNTIF(B28:H28,"9-11,15-19"))*(6)+(COUNTIF(B28:H28,"9-20"))*(10)+(COUNTIF(B28:H28,"9-19"))*(9)+(COUNTIF(B28:H28,"9-18"))*(8)+(COUNTIF(B28:H28,"9-17"))*(7.25)+(COUNTIF(B28:H28,"9-16"))*(6.25)+(COUNTIF(B28:H28,"9-15"))*(5.5)+(COUNTIF(B28:H28,"9-14"))*(4.5)+(COUNTIF(B28:H28,"9-13,17-20"))*(7)+(COUNTIF(B28:H28,"9-13"))*(4)+(COUNTIF(B28:H28,"9-12,18-20"))*(5)+(COUNTIF(B28:H28,"9-12,16-20"))*(7)+(COUNTIF(B28:H28,"9-12,16-19"))*(6)+(COUNTIF(B28:H28,"9-13,16-20"))*(6)+(COUNTIF(B28:H28,"9-12"))*(3)+(COUNTIF(B28:H28,"9-11:30"))*(2.5)+(COUNTIF(B28:H28,"9-11,16-19"))*(5)+(COUNTIF(B28:H28,"9-11"))*(2)+(COUNTIF(B28:H28,"9:30-11:30,16-19"))*(5)+(COUNTIF(B28:H28,"19-20"))*(1)+(COUNTIF(B28:H28,"17-20"))*(3)+(COUNTIF(B28:H28,"16-20"))*(4)+(COUNTIF(B28:H28,"15-20"))*(4.5)+(COUNTIF(B28:H28,"15-19"))*(4)+(COUNTIF(B28:H28,"14-20"))*(5.5)+(COUNTIF(B28:H28,"14-19"))*(4.5)+(COUNTIF(B28:H28,"14:30-20"))*(5)+(COUNTIF(B28:H28,"13-20"))*(6.25)+(COUNTIF(B28:H28,"13-19"))*(5.5)+(COUNTIF(B28:H28,"13-18"))*(4.5)+(COUNTIF(B28:H28,"13-17"))*(4)+(COUNTIF(B28:H28,"12-20"))*(7.25)+(COUNTIF(B28:H28,"10-20"))*(9)+(COUNTIF(B28:H28,"10-15"))*(4.5)+(COUNTIF(B28:H28,"12-18"))*(5.5)+(COUNTIF(B28:H28,"10-12,14-19"))*(6.5)+(COUNTIF(B28:H28,"10-14"))*(4)+(COUNTIF(B28:H28,"11-19"))*(7)</f>
        <v>14</v>
      </c>
      <c r="K28" s="322"/>
    </row>
    <row r="29" spans="1:11" ht="18" customHeight="1" x14ac:dyDescent="0.2">
      <c r="A29" s="237" t="s">
        <v>162</v>
      </c>
      <c r="B29" s="11" t="s">
        <v>19</v>
      </c>
      <c r="C29" s="39"/>
      <c r="D29" s="40"/>
      <c r="E29" s="11" t="s">
        <v>19</v>
      </c>
      <c r="F29" s="11" t="s">
        <v>19</v>
      </c>
      <c r="G29" s="11" t="s">
        <v>19</v>
      </c>
      <c r="H29" s="212"/>
      <c r="I29" s="5">
        <f t="shared" si="6"/>
        <v>4</v>
      </c>
      <c r="J29" s="321">
        <f t="shared" ref="J29:J30" si="8">SUM(COUNTIF(B29:H29,"9-11,15-19"))*(6)+(COUNTIF(B29:H29,"9-20"))*(10)+(COUNTIF(B29:H29,"9-19"))*(9)+(COUNTIF(B29:H29,"9-18"))*(8)+(COUNTIF(B29:H29,"9-17"))*(7.25)+(COUNTIF(B29:H29,"9-16"))*(6.25)+(COUNTIF(B29:H29,"9-15"))*(5.5)+(COUNTIF(B29:H29,"9-14"))*(4.5)+(COUNTIF(B29:H29,"9-13,17-20"))*(7)+(COUNTIF(B29:H29,"9-13"))*(4)+(COUNTIF(B29:H29,"9-12,18-20"))*(5)+(COUNTIF(B29:H29,"9-12,16-20"))*(7)+(COUNTIF(B29:H29,"9-12,16-19"))*(6)+(COUNTIF(B29:H29,"9-13,16-20"))*(6)+(COUNTIF(B29:H29,"9-12"))*(3)+(COUNTIF(B29:H29,"9-11:30"))*(2.5)+(COUNTIF(B29:H29,"9-11,16-19"))*(5)+(COUNTIF(B29:H29,"9-11"))*(2)+(COUNTIF(B29:H29,"9:30-11:30,16-19"))*(5)+(COUNTIF(B29:H29,"19-20"))*(1)+(COUNTIF(B29:H29,"17-20"))*(3)+(COUNTIF(B29:H29,"16-20"))*(4)+(COUNTIF(B29:H29,"15-20"))*(4.5)+(COUNTIF(B29:H29,"15-19"))*(4)+(COUNTIF(B29:H29,"14-20"))*(5.5)+(COUNTIF(B29:H29,"14-19"))*(4.5)+(COUNTIF(B29:H29,"14:30-20"))*(5)+(COUNTIF(B29:H29,"13-20"))*(6.25)+(COUNTIF(B29:H29,"13-19"))*(5.5)+(COUNTIF(B29:H29,"13-18"))*(4.5)+(COUNTIF(B29:H29,"13-17"))*(4)+(COUNTIF(B29:H29,"12-20"))*(7.25)+(COUNTIF(B29:H29,"10-20"))*(9)+(COUNTIF(B29:H29,"10-15"))*(4.5)+(COUNTIF(B29:H29,"12-18"))*(5.5)+(COUNTIF(B29:H29,"10-12,14-19"))*(6.5)+(COUNTIF(B29:H29,"10-14"))*(4)+(COUNTIF(B29:H29,"11-19"))*(7)</f>
        <v>18</v>
      </c>
      <c r="K29" s="322"/>
    </row>
    <row r="30" spans="1:11" ht="18" customHeight="1" x14ac:dyDescent="0.2">
      <c r="A30" s="237" t="s">
        <v>168</v>
      </c>
      <c r="B30" s="11"/>
      <c r="C30" s="39"/>
      <c r="D30" s="40"/>
      <c r="E30" s="11"/>
      <c r="F30" s="11"/>
      <c r="G30" s="11"/>
      <c r="H30" s="11"/>
      <c r="I30" s="5">
        <f t="shared" si="6"/>
        <v>0</v>
      </c>
      <c r="J30" s="321">
        <f t="shared" si="8"/>
        <v>0</v>
      </c>
      <c r="K30" s="322"/>
    </row>
    <row r="31" spans="1:11" ht="18" customHeight="1" x14ac:dyDescent="0.2">
      <c r="A31" s="27" t="s">
        <v>53</v>
      </c>
      <c r="B31" s="15"/>
      <c r="C31" s="39"/>
      <c r="D31" s="40"/>
      <c r="E31" s="15" t="s">
        <v>154</v>
      </c>
      <c r="F31" s="15"/>
      <c r="G31" s="15"/>
      <c r="H31" s="15"/>
      <c r="I31" s="5"/>
      <c r="J31" s="321"/>
      <c r="K31" s="322"/>
    </row>
    <row r="32" spans="1:11" ht="18" customHeight="1" x14ac:dyDescent="0.2">
      <c r="A32" s="27" t="s">
        <v>53</v>
      </c>
      <c r="B32" s="234" t="s">
        <v>117</v>
      </c>
      <c r="C32" s="39"/>
      <c r="D32" s="40"/>
      <c r="E32" s="234"/>
      <c r="F32" s="15"/>
      <c r="G32" s="234"/>
      <c r="H32" s="234" t="s">
        <v>146</v>
      </c>
      <c r="I32" s="5"/>
      <c r="J32" s="249"/>
      <c r="K32" s="250"/>
    </row>
    <row r="33" spans="1:11" ht="16.5" customHeight="1" x14ac:dyDescent="0.2">
      <c r="A33" s="21" t="s">
        <v>0</v>
      </c>
      <c r="B33" s="60">
        <v>46195</v>
      </c>
      <c r="C33" s="60">
        <v>46196</v>
      </c>
      <c r="D33" s="60">
        <v>46197</v>
      </c>
      <c r="E33" s="60">
        <v>46198</v>
      </c>
      <c r="F33" s="60">
        <v>46199</v>
      </c>
      <c r="G33" s="60">
        <v>46200</v>
      </c>
      <c r="H33" s="60">
        <v>46201</v>
      </c>
      <c r="I33" s="256" t="s">
        <v>1</v>
      </c>
      <c r="J33" s="258" t="s">
        <v>2</v>
      </c>
      <c r="K33" s="259"/>
    </row>
    <row r="34" spans="1:11" ht="16.5" customHeight="1" x14ac:dyDescent="0.2">
      <c r="A34" s="21" t="s">
        <v>3</v>
      </c>
      <c r="B34" s="2" t="s">
        <v>4</v>
      </c>
      <c r="C34" s="20" t="s">
        <v>5</v>
      </c>
      <c r="D34" s="20" t="s">
        <v>6</v>
      </c>
      <c r="E34" s="2" t="s">
        <v>7</v>
      </c>
      <c r="F34" s="2" t="s">
        <v>8</v>
      </c>
      <c r="G34" s="2" t="s">
        <v>9</v>
      </c>
      <c r="H34" s="23" t="s">
        <v>10</v>
      </c>
      <c r="I34" s="257"/>
      <c r="J34" s="260"/>
      <c r="K34" s="261"/>
    </row>
    <row r="35" spans="1:11" ht="18" customHeight="1" x14ac:dyDescent="0.2">
      <c r="A35" s="16" t="s">
        <v>12</v>
      </c>
      <c r="B35" s="11"/>
      <c r="C35" s="2"/>
      <c r="D35" s="2"/>
      <c r="E35" s="11"/>
      <c r="F35" s="11"/>
      <c r="G35" s="11"/>
      <c r="H35" s="11"/>
      <c r="I35" s="5"/>
      <c r="J35" s="249"/>
      <c r="K35" s="250"/>
    </row>
    <row r="36" spans="1:11" ht="18" customHeight="1" x14ac:dyDescent="0.2">
      <c r="A36" s="5" t="s">
        <v>13</v>
      </c>
      <c r="B36" s="57"/>
      <c r="C36" s="87"/>
      <c r="D36" s="28"/>
      <c r="E36" s="11" t="s">
        <v>19</v>
      </c>
      <c r="F36" s="11" t="s">
        <v>19</v>
      </c>
      <c r="G36" s="11" t="s">
        <v>19</v>
      </c>
      <c r="H36" s="15" t="s">
        <v>118</v>
      </c>
      <c r="I36" s="5">
        <f t="shared" ref="I36:I40" si="9">COUNTIFS(B36:H36,"&lt;&gt;空",B36:H36,"&lt;&gt;休",B36:H36,"&lt;&gt;調",B36:H36,"&lt;&gt;",B36:H36,"&lt;&gt;調整休")</f>
        <v>4</v>
      </c>
      <c r="J36" s="321">
        <f>SUM(COUNTIF(B36:H36,"9-11,15-19"))*(6)+(COUNTIF(B36:H36,"9-20"))*(10)+(COUNTIF(B36:H36,"9-19"))*(9)+(COUNTIF(B36:H36,"9-18"))*(8)+(COUNTIF(B36:H36,"9-17"))*(7.25)+(COUNTIF(B36:H36,"9-16"))*(6.25)+(COUNTIF(B36:H36,"9-15"))*(5.5)+(COUNTIF(B36:H36,"9-14"))*(4.5)+(COUNTIF(B36:H36,"9-13,17-20"))*(7)+(COUNTIF(B36:H36,"9-13"))*(4)+(COUNTIF(B36:H36,"9-12,18-20"))*(5)+(COUNTIF(B36:H36,"9-12,16-20"))*(7)+(COUNTIF(B36:H36,"9-12,16-19"))*(6)+(COUNTIF(B36:H36,"9-13,16-20"))*(6)+(COUNTIF(B36:H36,"9-12"))*(3)+(COUNTIF(B36:H36,"9-11:30"))*(2.5)+(COUNTIF(B36:H36,"9-11,16-19"))*(5)+(COUNTIF(B36:H36,"9-11"))*(2)+(COUNTIF(B36:H36,"9:30-11:30,16-19"))*(5)+(COUNTIF(B36:H36,"19-20"))*(1)+(COUNTIF(B36:H36,"17-20"))*(3)+(COUNTIF(B36:H36,"16-20"))*(4)+(COUNTIF(B36:H36,"15-20"))*(4.5)+(COUNTIF(B36:H36,"15-19"))*(4)+(COUNTIF(B36:H36,"14-20"))*(5.5)+(COUNTIF(B36:H36,"14-19"))*(4.5)+(COUNTIF(B36:H36,"14:30-20"))*(5)+(COUNTIF(B36:H36,"13-20"))*(6.25)+(COUNTIF(B36:H36,"13-19"))*(5.5)+(COUNTIF(B36:H36,"13-18"))*(4.5)+(COUNTIF(B36:H36,"13-17"))*(4)+(COUNTIF(B36:H36,"12-20"))*(7.25)+(COUNTIF(B36:H36,"10-20"))*(9)+(COUNTIF(B36:H36,"10-15"))*(4.5)+(COUNTIF(B36:H36,"12-18"))*(5.5)+(COUNTIF(B36:H36,"10-12,14-19"))*(6.5)+(COUNTIF(B36:H36,"10-14"))*(4)+(COUNTIF(B36:H36,"9-11・14-19"))*(6.5)</f>
        <v>20</v>
      </c>
      <c r="K36" s="322"/>
    </row>
    <row r="37" spans="1:11" ht="18" customHeight="1" x14ac:dyDescent="0.2">
      <c r="A37" s="19" t="s">
        <v>73</v>
      </c>
      <c r="B37" s="11" t="s">
        <v>18</v>
      </c>
      <c r="C37" s="179"/>
      <c r="D37" s="30"/>
      <c r="E37" s="11" t="s">
        <v>18</v>
      </c>
      <c r="F37" s="11" t="s">
        <v>18</v>
      </c>
      <c r="G37" s="11" t="s">
        <v>18</v>
      </c>
      <c r="H37" s="11" t="s">
        <v>18</v>
      </c>
      <c r="I37" s="5">
        <f t="shared" si="9"/>
        <v>5</v>
      </c>
      <c r="J37" s="321">
        <f t="shared" ref="J37" si="10">SUM(COUNTIF(B37:H37,"9-11,15-19"))*(6)+(COUNTIF(B37:H37,"9-20"))*(10)+(COUNTIF(B37:H37,"9-19"))*(9)+(COUNTIF(B37:H37,"9-18"))*(8)+(COUNTIF(B37:H37,"9-17"))*(7.25)+(COUNTIF(B37:H37,"9-16"))*(6.25)+(COUNTIF(B37:H37,"9-15"))*(5.5)+(COUNTIF(B37:H37,"9-14"))*(4.5)+(COUNTIF(B37:H37,"9-13,17-20"))*(7)+(COUNTIF(B37:H37,"9-13"))*(4)+(COUNTIF(B37:H37,"9-12,18-20"))*(5)+(COUNTIF(B37:H37,"9-12,16-20"))*(7)+(COUNTIF(B37:H37,"9-12,16-19"))*(6)+(COUNTIF(B37:H37,"9-13,16-20"))*(6)+(COUNTIF(B37:H37,"9-12"))*(3)+(COUNTIF(B37:H37,"9-11:30"))*(2.5)+(COUNTIF(B37:H37,"9-11,16-19"))*(5)+(COUNTIF(B37:H37,"9-11"))*(2)+(COUNTIF(B37:H37,"9:30-11:30,16-19"))*(5)+(COUNTIF(B37:H37,"19-20"))*(1)+(COUNTIF(B37:H37,"17-20"))*(3)+(COUNTIF(B37:H37,"16-20"))*(4)+(COUNTIF(B37:H37,"15-20"))*(4.5)+(COUNTIF(B37:H37,"15-19"))*(4)+(COUNTIF(B37:H37,"14-20"))*(5.5)+(COUNTIF(B37:H37,"14-19"))*(4.5)+(COUNTIF(B37:H37,"14:30-20"))*(5)+(COUNTIF(B37:H37,"13-20"))*(6.25)+(COUNTIF(B37:H37,"13-19"))*(5.5)+(COUNTIF(B37:H37,"13-18"))*(4.5)+(COUNTIF(B37:H37,"13-17"))*(4)+(COUNTIF(B37:H37,"12-20"))*(7.25)+(COUNTIF(B37:H37,"10-20"))*(9)+(COUNTIF(B37:H37,"10-15"))*(4.5)+(COUNTIF(B37:H37,"12-18"))*(5.5)+(COUNTIF(B37:H37,"10-12,14-19"))*(6.5)+(COUNTIF(B37:H37,"10-14"))*(4)</f>
        <v>22.5</v>
      </c>
      <c r="K37" s="322"/>
    </row>
    <row r="38" spans="1:11" ht="18" customHeight="1" x14ac:dyDescent="0.2">
      <c r="A38" s="19" t="s">
        <v>133</v>
      </c>
      <c r="B38" s="11"/>
      <c r="C38" s="39"/>
      <c r="D38" s="40"/>
      <c r="E38" s="15"/>
      <c r="F38" s="11" t="s">
        <v>113</v>
      </c>
      <c r="G38" s="11" t="s">
        <v>113</v>
      </c>
      <c r="H38" s="11" t="s">
        <v>113</v>
      </c>
      <c r="I38" s="5">
        <f t="shared" si="9"/>
        <v>3</v>
      </c>
      <c r="J38" s="321">
        <f>SUM(COUNTIF(B38:H38,"9-11,15-19"))*(6)+(COUNTIF(B38:H38,"9-20"))*(10)+(COUNTIF(B38:H38,"9-19"))*(9)+(COUNTIF(B38:H38,"9-18"))*(8)+(COUNTIF(B38:H38,"9-17"))*(7.25)+(COUNTIF(B38:H38,"9-16"))*(6.25)+(COUNTIF(B38:H38,"9-15"))*(5.5)+(COUNTIF(B38:H38,"9-14"))*(4.5)+(COUNTIF(B38:H38,"9-13,17-20"))*(7)+(COUNTIF(B38:H38,"9-13"))*(4)+(COUNTIF(B38:H38,"9-12,18-20"))*(5)+(COUNTIF(B38:H38,"9-12,16-20"))*(7)+(COUNTIF(B38:H38,"9-12,16-19"))*(6)+(COUNTIF(B38:H38,"9-13,16-20"))*(6)+(COUNTIF(B38:H38,"9-12"))*(3)+(COUNTIF(B38:H38,"9-11:30"))*(2.5)+(COUNTIF(B38:H38,"9-11,16-19"))*(5)+(COUNTIF(B38:H38,"9-11"))*(2)+(COUNTIF(B38:H38,"9:30-11:30,16-19"))*(5)+(COUNTIF(B38:H38,"19-20"))*(1)+(COUNTIF(B38:H38,"17-20"))*(3)+(COUNTIF(B38:H38,"16-20"))*(4)+(COUNTIF(B38:H38,"15-20"))*(4.5)+(COUNTIF(B38:H38,"15-19"))*(4)+(COUNTIF(B38:H38,"14-20"))*(5.5)+(COUNTIF(B38:H38,"14-19"))*(4.5)+(COUNTIF(B38:H38,"14:30-20"))*(5)+(COUNTIF(B38:H38,"13-20"))*(6.25)+(COUNTIF(B38:H38,"13-19"))*(5.5)+(COUNTIF(B38:H38,"13-18"))*(4.5)+(COUNTIF(B38:H38,"13-17"))*(4)+(COUNTIF(B38:H38,"12-20"))*(7.25)+(COUNTIF(B38:H38,"10-20"))*(9)+(COUNTIF(B38:H38,"10-15"))*(4.5)+(COUNTIF(B38:H38,"12-18"))*(5.5)+(COUNTIF(B38:H38,"10-12,14-19"))*(6.5)+(COUNTIF(B38:H38,"10-14"))*(4)+(COUNTIF(B38:H38,"11-19"))*(7)</f>
        <v>21</v>
      </c>
      <c r="K38" s="322"/>
    </row>
    <row r="39" spans="1:11" ht="18" customHeight="1" x14ac:dyDescent="0.2">
      <c r="A39" s="237" t="s">
        <v>162</v>
      </c>
      <c r="B39" s="11" t="s">
        <v>19</v>
      </c>
      <c r="C39" s="39"/>
      <c r="D39" s="40"/>
      <c r="E39" s="11" t="s">
        <v>19</v>
      </c>
      <c r="F39" s="11" t="s">
        <v>19</v>
      </c>
      <c r="G39" s="52"/>
      <c r="H39" s="212"/>
      <c r="I39" s="5">
        <f t="shared" si="9"/>
        <v>3</v>
      </c>
      <c r="J39" s="321">
        <f t="shared" ref="J39:J40" si="11">SUM(COUNTIF(B39:H39,"9-11,15-19"))*(6)+(COUNTIF(B39:H39,"9-20"))*(10)+(COUNTIF(B39:H39,"9-19"))*(9)+(COUNTIF(B39:H39,"9-18"))*(8)+(COUNTIF(B39:H39,"9-17"))*(7.25)+(COUNTIF(B39:H39,"9-16"))*(6.25)+(COUNTIF(B39:H39,"9-15"))*(5.5)+(COUNTIF(B39:H39,"9-14"))*(4.5)+(COUNTIF(B39:H39,"9-13,17-20"))*(7)+(COUNTIF(B39:H39,"9-13"))*(4)+(COUNTIF(B39:H39,"9-12,18-20"))*(5)+(COUNTIF(B39:H39,"9-12,16-20"))*(7)+(COUNTIF(B39:H39,"9-12,16-19"))*(6)+(COUNTIF(B39:H39,"9-13,16-20"))*(6)+(COUNTIF(B39:H39,"9-12"))*(3)+(COUNTIF(B39:H39,"9-11:30"))*(2.5)+(COUNTIF(B39:H39,"9-11,16-19"))*(5)+(COUNTIF(B39:H39,"9-11"))*(2)+(COUNTIF(B39:H39,"9:30-11:30,16-19"))*(5)+(COUNTIF(B39:H39,"19-20"))*(1)+(COUNTIF(B39:H39,"17-20"))*(3)+(COUNTIF(B39:H39,"16-20"))*(4)+(COUNTIF(B39:H39,"15-20"))*(4.5)+(COUNTIF(B39:H39,"15-19"))*(4)+(COUNTIF(B39:H39,"14-20"))*(5.5)+(COUNTIF(B39:H39,"14-19"))*(4.5)+(COUNTIF(B39:H39,"14:30-20"))*(5)+(COUNTIF(B39:H39,"13-20"))*(6.25)+(COUNTIF(B39:H39,"13-19"))*(5.5)+(COUNTIF(B39:H39,"13-18"))*(4.5)+(COUNTIF(B39:H39,"13-17"))*(4)+(COUNTIF(B39:H39,"12-20"))*(7.25)+(COUNTIF(B39:H39,"10-20"))*(9)+(COUNTIF(B39:H39,"10-15"))*(4.5)+(COUNTIF(B39:H39,"12-18"))*(5.5)+(COUNTIF(B39:H39,"10-12,14-19"))*(6.5)+(COUNTIF(B39:H39,"10-14"))*(4)+(COUNTIF(B39:H39,"11-19"))*(7)</f>
        <v>13.5</v>
      </c>
      <c r="K39" s="322"/>
    </row>
    <row r="40" spans="1:11" ht="18" customHeight="1" x14ac:dyDescent="0.2">
      <c r="A40" s="237" t="s">
        <v>168</v>
      </c>
      <c r="B40" s="11"/>
      <c r="C40" s="39"/>
      <c r="D40" s="40"/>
      <c r="E40" s="11"/>
      <c r="F40" s="11"/>
      <c r="G40" s="11"/>
      <c r="H40" s="11"/>
      <c r="I40" s="5">
        <f t="shared" si="9"/>
        <v>0</v>
      </c>
      <c r="J40" s="321">
        <f t="shared" si="11"/>
        <v>0</v>
      </c>
      <c r="K40" s="322"/>
    </row>
    <row r="41" spans="1:11" ht="18" customHeight="1" x14ac:dyDescent="0.2">
      <c r="A41" s="27" t="s">
        <v>53</v>
      </c>
      <c r="B41" s="15"/>
      <c r="C41" s="39"/>
      <c r="D41" s="40"/>
      <c r="E41" s="15"/>
      <c r="F41" s="15" t="s">
        <v>159</v>
      </c>
      <c r="G41" s="15" t="s">
        <v>156</v>
      </c>
      <c r="H41" s="15"/>
      <c r="I41" s="5"/>
      <c r="J41" s="321"/>
      <c r="K41" s="322"/>
    </row>
    <row r="42" spans="1:11" ht="18" customHeight="1" x14ac:dyDescent="0.2">
      <c r="A42" s="27" t="s">
        <v>53</v>
      </c>
      <c r="B42" s="15" t="s">
        <v>120</v>
      </c>
      <c r="C42" s="39"/>
      <c r="D42" s="40"/>
      <c r="E42" s="234"/>
      <c r="F42" s="15"/>
      <c r="G42" s="234"/>
      <c r="H42" s="234"/>
      <c r="I42" s="5"/>
      <c r="J42" s="249"/>
      <c r="K42" s="250"/>
    </row>
    <row r="43" spans="1:11" ht="16.5" customHeight="1" x14ac:dyDescent="0.2">
      <c r="A43" s="21" t="s">
        <v>0</v>
      </c>
      <c r="B43" s="22">
        <v>46202</v>
      </c>
      <c r="C43" s="22">
        <v>46203</v>
      </c>
      <c r="D43" s="22"/>
      <c r="E43" s="22"/>
      <c r="F43" s="22"/>
      <c r="G43" s="22"/>
      <c r="H43" s="22"/>
      <c r="I43" s="256" t="s">
        <v>1</v>
      </c>
      <c r="J43" s="258" t="s">
        <v>2</v>
      </c>
      <c r="K43" s="259"/>
    </row>
    <row r="44" spans="1:11" ht="16.5" customHeight="1" x14ac:dyDescent="0.2">
      <c r="A44" s="21" t="s">
        <v>3</v>
      </c>
      <c r="B44" s="2" t="s">
        <v>4</v>
      </c>
      <c r="C44" s="174" t="s">
        <v>5</v>
      </c>
      <c r="D44" s="174"/>
      <c r="E44" s="2"/>
      <c r="F44" s="2"/>
      <c r="G44" s="2"/>
      <c r="H44" s="23"/>
      <c r="I44" s="257"/>
      <c r="J44" s="260"/>
      <c r="K44" s="261"/>
    </row>
    <row r="45" spans="1:11" ht="18" customHeight="1" x14ac:dyDescent="0.2">
      <c r="A45" s="16" t="s">
        <v>11</v>
      </c>
      <c r="B45" s="11"/>
      <c r="C45" s="2"/>
      <c r="D45" s="2"/>
      <c r="E45" s="2"/>
      <c r="F45" s="2"/>
      <c r="G45" s="2"/>
      <c r="H45" s="2"/>
      <c r="I45" s="5"/>
      <c r="J45" s="323"/>
      <c r="K45" s="250"/>
    </row>
    <row r="46" spans="1:11" ht="18" customHeight="1" x14ac:dyDescent="0.2">
      <c r="A46" s="5" t="s">
        <v>13</v>
      </c>
      <c r="B46" s="11" t="s">
        <v>19</v>
      </c>
      <c r="C46" s="87"/>
      <c r="D46" s="28"/>
      <c r="E46" s="28"/>
      <c r="F46" s="28"/>
      <c r="G46" s="28"/>
      <c r="H46" s="28"/>
      <c r="I46" s="5">
        <f t="shared" ref="I46:I50" si="12">COUNTIFS(B46:H46,"&lt;&gt;空",B46:H46,"&lt;&gt;休",B46:H46,"&lt;&gt;調",B46:H46,"&lt;&gt;",B46:H46,"&lt;&gt;調整休")</f>
        <v>1</v>
      </c>
      <c r="J46" s="321">
        <f>SUM(COUNTIF(B46:H46,"9-11,15-19"))*(6)+(COUNTIF(B46:H46,"9-20"))*(10)+(COUNTIF(B46:H46,"9-19"))*(9)+(COUNTIF(B46:H46,"9-18"))*(8)+(COUNTIF(B46:H46,"9-17"))*(7.25)+(COUNTIF(B46:H46,"9-16"))*(6.25)+(COUNTIF(B46:H46,"9-15"))*(5.5)+(COUNTIF(B46:H46,"9-14"))*(4.5)+(COUNTIF(B46:H46,"9-13,17-20"))*(7)+(COUNTIF(B46:H46,"9-13"))*(4)+(COUNTIF(B46:H46,"9-12,18-20"))*(5)+(COUNTIF(B46:H46,"9-12,16-20"))*(7)+(COUNTIF(B46:H46,"9-12,16-19"))*(6)+(COUNTIF(B46:H46,"9-13,16-20"))*(6)+(COUNTIF(B46:H46,"9-12"))*(3)+(COUNTIF(B46:H46,"9-11:30"))*(2.5)+(COUNTIF(B46:H46,"9-11,16-19"))*(5)+(COUNTIF(B46:H46,"9-11"))*(2)+(COUNTIF(B46:H46,"9:30-11:30,16-19"))*(5)+(COUNTIF(B46:H46,"19-20"))*(1)+(COUNTIF(B46:H46,"17-20"))*(3)+(COUNTIF(B46:H46,"16-20"))*(4)+(COUNTIF(B46:H46,"15-20"))*(4.5)+(COUNTIF(B46:H46,"15-19"))*(4)+(COUNTIF(B46:H46,"14-20"))*(5.5)+(COUNTIF(B46:H46,"14-19"))*(4.5)+(COUNTIF(B46:H46,"14:30-20"))*(5)+(COUNTIF(B46:H46,"13-20"))*(6.25)+(COUNTIF(B46:H46,"13-19"))*(5.5)+(COUNTIF(B46:H46,"13-18"))*(4.5)+(COUNTIF(B46:H46,"13-17"))*(4)+(COUNTIF(B46:H46,"12-20"))*(7.25)+(COUNTIF(B46:H46,"10-20"))*(9)+(COUNTIF(B46:H46,"10-15"))*(4.5)+(COUNTIF(B46:H46,"12-18"))*(5.5)+(COUNTIF(B46:H46,"10-12,14-19"))*(6.5)+(COUNTIF(B46:H46,"10-14"))*(4)+(COUNTIF(B46:H46,"9-11・14-19"))*(6.5)</f>
        <v>4.5</v>
      </c>
      <c r="K46" s="322"/>
    </row>
    <row r="47" spans="1:11" ht="18" customHeight="1" x14ac:dyDescent="0.2">
      <c r="A47" s="19" t="s">
        <v>73</v>
      </c>
      <c r="B47" s="11" t="s">
        <v>18</v>
      </c>
      <c r="C47" s="179"/>
      <c r="D47" s="30"/>
      <c r="E47" s="30"/>
      <c r="F47" s="30"/>
      <c r="G47" s="30"/>
      <c r="H47" s="30"/>
      <c r="I47" s="5">
        <f t="shared" si="12"/>
        <v>1</v>
      </c>
      <c r="J47" s="321">
        <f t="shared" ref="J47" si="13">SUM(COUNTIF(B47:H47,"9-11,15-19"))*(6)+(COUNTIF(B47:H47,"9-20"))*(10)+(COUNTIF(B47:H47,"9-19"))*(9)+(COUNTIF(B47:H47,"9-18"))*(8)+(COUNTIF(B47:H47,"9-17"))*(7.25)+(COUNTIF(B47:H47,"9-16"))*(6.25)+(COUNTIF(B47:H47,"9-15"))*(5.5)+(COUNTIF(B47:H47,"9-14"))*(4.5)+(COUNTIF(B47:H47,"9-13,17-20"))*(7)+(COUNTIF(B47:H47,"9-13"))*(4)+(COUNTIF(B47:H47,"9-12,18-20"))*(5)+(COUNTIF(B47:H47,"9-12,16-20"))*(7)+(COUNTIF(B47:H47,"9-12,16-19"))*(6)+(COUNTIF(B47:H47,"9-13,16-20"))*(6)+(COUNTIF(B47:H47,"9-12"))*(3)+(COUNTIF(B47:H47,"9-11:30"))*(2.5)+(COUNTIF(B47:H47,"9-11,16-19"))*(5)+(COUNTIF(B47:H47,"9-11"))*(2)+(COUNTIF(B47:H47,"9:30-11:30,16-19"))*(5)+(COUNTIF(B47:H47,"19-20"))*(1)+(COUNTIF(B47:H47,"17-20"))*(3)+(COUNTIF(B47:H47,"16-20"))*(4)+(COUNTIF(B47:H47,"15-20"))*(4.5)+(COUNTIF(B47:H47,"15-19"))*(4)+(COUNTIF(B47:H47,"14-20"))*(5.5)+(COUNTIF(B47:H47,"14-19"))*(4.5)+(COUNTIF(B47:H47,"14:30-20"))*(5)+(COUNTIF(B47:H47,"13-20"))*(6.25)+(COUNTIF(B47:H47,"13-19"))*(5.5)+(COUNTIF(B47:H47,"13-18"))*(4.5)+(COUNTIF(B47:H47,"13-17"))*(4)+(COUNTIF(B47:H47,"12-20"))*(7.25)+(COUNTIF(B47:H47,"10-20"))*(9)+(COUNTIF(B47:H47,"10-15"))*(4.5)+(COUNTIF(B47:H47,"12-18"))*(5.5)+(COUNTIF(B47:H47,"10-12,14-19"))*(6.5)+(COUNTIF(B47:H47,"10-14"))*(4)</f>
        <v>4.5</v>
      </c>
      <c r="K47" s="322"/>
    </row>
    <row r="48" spans="1:11" ht="18" customHeight="1" x14ac:dyDescent="0.2">
      <c r="A48" s="19" t="s">
        <v>133</v>
      </c>
      <c r="B48" s="11"/>
      <c r="C48" s="39"/>
      <c r="D48" s="40"/>
      <c r="E48" s="40"/>
      <c r="F48" s="40"/>
      <c r="G48" s="40"/>
      <c r="H48" s="40"/>
      <c r="I48" s="5">
        <f t="shared" si="12"/>
        <v>0</v>
      </c>
      <c r="J48" s="321">
        <f>SUM(COUNTIF(B48:H48,"9-11,15-19"))*(6)+(COUNTIF(B48:H48,"9-20"))*(10)+(COUNTIF(B48:H48,"9-19"))*(9)+(COUNTIF(B48:H48,"9-18"))*(8)+(COUNTIF(B48:H48,"9-17"))*(7.25)+(COUNTIF(B48:H48,"9-16"))*(6.25)+(COUNTIF(B48:H48,"9-15"))*(5.5)+(COUNTIF(B48:H48,"9-14"))*(4.5)+(COUNTIF(B48:H48,"9-13,17-20"))*(7)+(COUNTIF(B48:H48,"9-13"))*(4)+(COUNTIF(B48:H48,"9-12,18-20"))*(5)+(COUNTIF(B48:H48,"9-12,16-20"))*(7)+(COUNTIF(B48:H48,"9-12,16-19"))*(6)+(COUNTIF(B48:H48,"9-13,16-20"))*(6)+(COUNTIF(B48:H48,"9-12"))*(3)+(COUNTIF(B48:H48,"9-11:30"))*(2.5)+(COUNTIF(B48:H48,"9-11,16-19"))*(5)+(COUNTIF(B48:H48,"9-11"))*(2)+(COUNTIF(B48:H48,"9:30-11:30,16-19"))*(5)+(COUNTIF(B48:H48,"19-20"))*(1)+(COUNTIF(B48:H48,"17-20"))*(3)+(COUNTIF(B48:H48,"16-20"))*(4)+(COUNTIF(B48:H48,"15-20"))*(4.5)+(COUNTIF(B48:H48,"15-19"))*(4)+(COUNTIF(B48:H48,"14-20"))*(5.5)+(COUNTIF(B48:H48,"14-19"))*(4.5)+(COUNTIF(B48:H48,"14:30-20"))*(5)+(COUNTIF(B48:H48,"13-20"))*(6.25)+(COUNTIF(B48:H48,"13-19"))*(5.5)+(COUNTIF(B48:H48,"13-18"))*(4.5)+(COUNTIF(B48:H48,"13-17"))*(4)+(COUNTIF(B48:H48,"12-20"))*(7.25)+(COUNTIF(B48:H48,"10-20"))*(9)+(COUNTIF(B48:H48,"10-15"))*(4.5)+(COUNTIF(B48:H48,"12-18"))*(5.5)+(COUNTIF(B48:H48,"10-12,14-19"))*(6.5)+(COUNTIF(B48:H48,"10-14"))*(4)+(COUNTIF(B48:H48,"11-19"))*(7)</f>
        <v>0</v>
      </c>
      <c r="K48" s="322"/>
    </row>
    <row r="49" spans="1:14" ht="18" customHeight="1" x14ac:dyDescent="0.2">
      <c r="A49" s="237" t="s">
        <v>162</v>
      </c>
      <c r="B49" s="11" t="s">
        <v>19</v>
      </c>
      <c r="C49" s="39"/>
      <c r="D49" s="40"/>
      <c r="E49" s="40"/>
      <c r="F49" s="40"/>
      <c r="G49" s="40"/>
      <c r="H49" s="40"/>
      <c r="I49" s="5">
        <f t="shared" si="12"/>
        <v>1</v>
      </c>
      <c r="J49" s="321">
        <f t="shared" ref="J49:J50" si="14">SUM(COUNTIF(B49:H49,"9-11,15-19"))*(6)+(COUNTIF(B49:H49,"9-20"))*(10)+(COUNTIF(B49:H49,"9-19"))*(9)+(COUNTIF(B49:H49,"9-18"))*(8)+(COUNTIF(B49:H49,"9-17"))*(7.25)+(COUNTIF(B49:H49,"9-16"))*(6.25)+(COUNTIF(B49:H49,"9-15"))*(5.5)+(COUNTIF(B49:H49,"9-14"))*(4.5)+(COUNTIF(B49:H49,"9-13,17-20"))*(7)+(COUNTIF(B49:H49,"9-13"))*(4)+(COUNTIF(B49:H49,"9-12,18-20"))*(5)+(COUNTIF(B49:H49,"9-12,16-20"))*(7)+(COUNTIF(B49:H49,"9-12,16-19"))*(6)+(COUNTIF(B49:H49,"9-13,16-20"))*(6)+(COUNTIF(B49:H49,"9-12"))*(3)+(COUNTIF(B49:H49,"9-11:30"))*(2.5)+(COUNTIF(B49:H49,"9-11,16-19"))*(5)+(COUNTIF(B49:H49,"9-11"))*(2)+(COUNTIF(B49:H49,"9:30-11:30,16-19"))*(5)+(COUNTIF(B49:H49,"19-20"))*(1)+(COUNTIF(B49:H49,"17-20"))*(3)+(COUNTIF(B49:H49,"16-20"))*(4)+(COUNTIF(B49:H49,"15-20"))*(4.5)+(COUNTIF(B49:H49,"15-19"))*(4)+(COUNTIF(B49:H49,"14-20"))*(5.5)+(COUNTIF(B49:H49,"14-19"))*(4.5)+(COUNTIF(B49:H49,"14:30-20"))*(5)+(COUNTIF(B49:H49,"13-20"))*(6.25)+(COUNTIF(B49:H49,"13-19"))*(5.5)+(COUNTIF(B49:H49,"13-18"))*(4.5)+(COUNTIF(B49:H49,"13-17"))*(4)+(COUNTIF(B49:H49,"12-20"))*(7.25)+(COUNTIF(B49:H49,"10-20"))*(9)+(COUNTIF(B49:H49,"10-15"))*(4.5)+(COUNTIF(B49:H49,"12-18"))*(5.5)+(COUNTIF(B49:H49,"10-12,14-19"))*(6.5)+(COUNTIF(B49:H49,"10-14"))*(4)+(COUNTIF(B49:H49,"11-19"))*(7)</f>
        <v>4.5</v>
      </c>
      <c r="K49" s="322"/>
    </row>
    <row r="50" spans="1:14" ht="18" customHeight="1" x14ac:dyDescent="0.2">
      <c r="A50" s="237" t="s">
        <v>168</v>
      </c>
      <c r="B50" s="11"/>
      <c r="C50" s="39"/>
      <c r="D50" s="40"/>
      <c r="E50" s="40"/>
      <c r="F50" s="40"/>
      <c r="G50" s="40"/>
      <c r="H50" s="40"/>
      <c r="I50" s="5">
        <f t="shared" si="12"/>
        <v>0</v>
      </c>
      <c r="J50" s="321">
        <f t="shared" si="14"/>
        <v>0</v>
      </c>
      <c r="K50" s="322"/>
    </row>
    <row r="51" spans="1:14" ht="18" customHeight="1" x14ac:dyDescent="0.2">
      <c r="A51" s="27" t="s">
        <v>53</v>
      </c>
      <c r="B51" s="15"/>
      <c r="C51" s="39"/>
      <c r="D51" s="40"/>
      <c r="E51" s="40"/>
      <c r="F51" s="40"/>
      <c r="G51" s="40"/>
      <c r="H51" s="40"/>
      <c r="I51" s="5"/>
      <c r="J51" s="321"/>
      <c r="K51" s="322"/>
    </row>
    <row r="52" spans="1:14" ht="18" customHeight="1" x14ac:dyDescent="0.2">
      <c r="A52" s="27" t="s">
        <v>53</v>
      </c>
      <c r="B52" s="234"/>
      <c r="C52" s="39"/>
      <c r="D52" s="40"/>
      <c r="E52" s="40"/>
      <c r="F52" s="40"/>
      <c r="G52" s="40"/>
      <c r="H52" s="40"/>
      <c r="I52" s="5"/>
      <c r="J52" s="249"/>
      <c r="K52" s="250"/>
    </row>
    <row r="53" spans="1:14" ht="16.5" customHeight="1" x14ac:dyDescent="0.2">
      <c r="A53" s="35"/>
      <c r="B53" s="36"/>
      <c r="C53" s="36"/>
      <c r="D53" s="36"/>
      <c r="E53" s="36"/>
      <c r="F53" s="36"/>
      <c r="G53" s="36"/>
      <c r="H53" s="36"/>
      <c r="I53" s="348" t="s">
        <v>180</v>
      </c>
      <c r="J53" s="348"/>
      <c r="K53" s="348"/>
    </row>
    <row r="54" spans="1:14" ht="14.4" customHeight="1" x14ac:dyDescent="0.2">
      <c r="A54" s="270" t="s">
        <v>29</v>
      </c>
      <c r="B54" s="271"/>
      <c r="C54" s="12"/>
      <c r="D54" s="272" t="s">
        <v>26</v>
      </c>
      <c r="E54" s="272"/>
      <c r="H54" s="9"/>
      <c r="I54" s="9"/>
      <c r="M54" s="13"/>
      <c r="N54" s="14"/>
    </row>
    <row r="55" spans="1:14" ht="14.4" customHeight="1" x14ac:dyDescent="0.2">
      <c r="A55" s="265" t="s">
        <v>63</v>
      </c>
      <c r="B55" s="266"/>
      <c r="C55" s="267" t="s">
        <v>67</v>
      </c>
      <c r="D55" s="268"/>
      <c r="E55" s="268"/>
      <c r="F55" s="268"/>
      <c r="G55" s="268"/>
      <c r="H55" s="268"/>
      <c r="I55" s="268"/>
      <c r="J55" s="268"/>
      <c r="K55" s="268"/>
      <c r="M55" s="13"/>
      <c r="N55" s="14"/>
    </row>
    <row r="56" spans="1:14" ht="14.4" customHeight="1" x14ac:dyDescent="0.2">
      <c r="A56" s="265" t="s">
        <v>64</v>
      </c>
      <c r="B56" s="266"/>
      <c r="C56" s="267" t="s">
        <v>68</v>
      </c>
      <c r="D56" s="268"/>
      <c r="E56" s="268"/>
      <c r="F56" s="268"/>
      <c r="G56" s="268"/>
      <c r="H56" s="268"/>
      <c r="I56" s="268"/>
      <c r="J56" s="268"/>
      <c r="K56" s="268"/>
    </row>
    <row r="57" spans="1:14" ht="14.4" customHeight="1" x14ac:dyDescent="0.2">
      <c r="A57" s="64" t="s">
        <v>65</v>
      </c>
      <c r="B57" s="65"/>
      <c r="C57" s="282" t="s">
        <v>25</v>
      </c>
      <c r="D57" s="273"/>
      <c r="E57" s="273"/>
      <c r="F57" s="273"/>
      <c r="G57" s="273"/>
      <c r="H57" s="273"/>
      <c r="I57" s="273"/>
      <c r="J57" s="273"/>
      <c r="K57" s="273"/>
    </row>
    <row r="58" spans="1:14" ht="14.4" customHeight="1" x14ac:dyDescent="0.2">
      <c r="A58" s="64" t="s">
        <v>66</v>
      </c>
      <c r="B58" s="65"/>
      <c r="C58" s="66" t="s">
        <v>27</v>
      </c>
      <c r="D58" s="67"/>
      <c r="E58" s="67"/>
      <c r="F58" s="67"/>
      <c r="G58" s="67"/>
      <c r="H58" s="67"/>
      <c r="I58" s="67"/>
      <c r="J58" s="67"/>
      <c r="K58" s="67"/>
    </row>
    <row r="59" spans="1:14" ht="14.4" customHeight="1" x14ac:dyDescent="0.2">
      <c r="A59" s="283"/>
      <c r="B59" s="284"/>
      <c r="C59" s="282" t="s">
        <v>69</v>
      </c>
      <c r="D59" s="273"/>
      <c r="E59" s="273"/>
      <c r="F59" s="273"/>
      <c r="G59" s="273"/>
      <c r="H59" s="273"/>
      <c r="I59" s="273"/>
      <c r="J59" s="273"/>
      <c r="K59" s="273"/>
    </row>
    <row r="60" spans="1:14" ht="14.4" customHeight="1" x14ac:dyDescent="0.2">
      <c r="A60" s="285" t="s">
        <v>169</v>
      </c>
      <c r="B60" s="286"/>
      <c r="C60" s="67" t="s">
        <v>28</v>
      </c>
      <c r="D60" s="67"/>
      <c r="E60" s="67"/>
      <c r="F60" s="67"/>
      <c r="G60" s="67"/>
      <c r="H60" s="67"/>
      <c r="I60" s="67"/>
      <c r="J60" s="67"/>
      <c r="K60" s="67"/>
    </row>
    <row r="61" spans="1:14" ht="14.4" customHeight="1" x14ac:dyDescent="0.2">
      <c r="A61" s="274" t="s">
        <v>190</v>
      </c>
      <c r="B61" s="349"/>
      <c r="C61" s="273" t="s">
        <v>70</v>
      </c>
      <c r="D61" s="273"/>
      <c r="E61" s="273"/>
      <c r="F61" s="273"/>
      <c r="G61" s="273"/>
      <c r="H61" s="273"/>
      <c r="I61" s="273"/>
      <c r="J61" s="273"/>
      <c r="K61" s="273"/>
    </row>
    <row r="62" spans="1:14" ht="3" customHeight="1" x14ac:dyDescent="0.2">
      <c r="A62" s="350"/>
      <c r="B62" s="351"/>
      <c r="C62" s="273"/>
      <c r="D62" s="273"/>
      <c r="E62" s="273"/>
      <c r="F62" s="273"/>
      <c r="G62" s="273"/>
      <c r="H62" s="273"/>
      <c r="I62" s="273"/>
      <c r="J62" s="273"/>
      <c r="K62" s="273"/>
    </row>
    <row r="63" spans="1:14" ht="16.5" customHeight="1" x14ac:dyDescent="0.2">
      <c r="A63" s="350"/>
      <c r="B63" s="351"/>
      <c r="C63" s="280" t="s">
        <v>170</v>
      </c>
      <c r="D63" s="281"/>
      <c r="E63" s="281"/>
      <c r="F63" s="281"/>
      <c r="G63" s="281"/>
      <c r="H63" s="281"/>
      <c r="I63" s="281"/>
    </row>
    <row r="64" spans="1:14" ht="16.5" customHeight="1" x14ac:dyDescent="0.2">
      <c r="A64" s="352"/>
      <c r="B64" s="353"/>
      <c r="C64" s="280"/>
      <c r="D64" s="281"/>
      <c r="E64" s="281"/>
      <c r="F64" s="281"/>
      <c r="G64" s="281"/>
      <c r="H64" s="281"/>
      <c r="I64" s="281"/>
    </row>
  </sheetData>
  <mergeCells count="69">
    <mergeCell ref="C62:K62"/>
    <mergeCell ref="C57:K57"/>
    <mergeCell ref="A59:B59"/>
    <mergeCell ref="C59:K59"/>
    <mergeCell ref="A60:B60"/>
    <mergeCell ref="C61:K61"/>
    <mergeCell ref="A61:B64"/>
    <mergeCell ref="C63:I64"/>
    <mergeCell ref="I43:I44"/>
    <mergeCell ref="J43:K44"/>
    <mergeCell ref="J45:K45"/>
    <mergeCell ref="A56:B56"/>
    <mergeCell ref="C56:K56"/>
    <mergeCell ref="J47:K47"/>
    <mergeCell ref="J48:K48"/>
    <mergeCell ref="J49:K49"/>
    <mergeCell ref="J50:K50"/>
    <mergeCell ref="J51:K51"/>
    <mergeCell ref="J52:K52"/>
    <mergeCell ref="I53:K53"/>
    <mergeCell ref="A54:B54"/>
    <mergeCell ref="D54:E54"/>
    <mergeCell ref="A55:B55"/>
    <mergeCell ref="C55:K55"/>
    <mergeCell ref="J46:K46"/>
    <mergeCell ref="J35:K35"/>
    <mergeCell ref="J36:K36"/>
    <mergeCell ref="J37:K37"/>
    <mergeCell ref="J38:K38"/>
    <mergeCell ref="J39:K39"/>
    <mergeCell ref="J40:K40"/>
    <mergeCell ref="J41:K41"/>
    <mergeCell ref="J42:K42"/>
    <mergeCell ref="J29:K29"/>
    <mergeCell ref="J30:K30"/>
    <mergeCell ref="J31:K31"/>
    <mergeCell ref="J32:K32"/>
    <mergeCell ref="I33:I34"/>
    <mergeCell ref="J33:K34"/>
    <mergeCell ref="I13:I14"/>
    <mergeCell ref="J13:K14"/>
    <mergeCell ref="F15:H15"/>
    <mergeCell ref="J15:K15"/>
    <mergeCell ref="J28:K28"/>
    <mergeCell ref="J17:K17"/>
    <mergeCell ref="J18:K18"/>
    <mergeCell ref="J19:K19"/>
    <mergeCell ref="J20:K20"/>
    <mergeCell ref="J21:K21"/>
    <mergeCell ref="J22:K22"/>
    <mergeCell ref="I23:I24"/>
    <mergeCell ref="J23:K24"/>
    <mergeCell ref="J25:K25"/>
    <mergeCell ref="J26:K26"/>
    <mergeCell ref="J27:K27"/>
    <mergeCell ref="J16:K16"/>
    <mergeCell ref="J6:K6"/>
    <mergeCell ref="J7:K7"/>
    <mergeCell ref="J8:K8"/>
    <mergeCell ref="J9:K9"/>
    <mergeCell ref="J10:K10"/>
    <mergeCell ref="J11:K11"/>
    <mergeCell ref="J12:K12"/>
    <mergeCell ref="J5:K5"/>
    <mergeCell ref="B1:F1"/>
    <mergeCell ref="H1:K1"/>
    <mergeCell ref="B2:E2"/>
    <mergeCell ref="I3:I4"/>
    <mergeCell ref="J3:K4"/>
  </mergeCells>
  <phoneticPr fontId="13"/>
  <pageMargins left="0.59055118110236227" right="0.27559055118110237" top="0.31496062992125984" bottom="0.11811023622047245" header="0.51181102362204722" footer="0.51181102362204722"/>
  <pageSetup paperSize="9" scale="82"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694B0A83-5F98-42F9-A424-A5B201AC4A38}">
          <x14:formula1>
            <xm:f>'F:\Users\clmiwa-three\Downloads\[《中村》新田・草加 エリア 仮シフト【12月16日～1月15日】.xlsx]参照データベース'!#REF!</xm:f>
          </x14:formula1>
          <xm:sqref>G1 C53:H53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01FFDD-B920-410C-9867-D76709331062}">
  <sheetPr>
    <tabColor theme="7" tint="0.59999389629810485"/>
    <pageSetUpPr fitToPage="1"/>
  </sheetPr>
  <dimension ref="A1:X53"/>
  <sheetViews>
    <sheetView topLeftCell="A28" zoomScaleNormal="100" workbookViewId="0">
      <selection activeCell="C52" sqref="C52:I53"/>
    </sheetView>
  </sheetViews>
  <sheetFormatPr defaultColWidth="9" defaultRowHeight="17.100000000000001" customHeight="1" x14ac:dyDescent="0.2"/>
  <cols>
    <col min="1" max="1" width="11.88671875" style="1" customWidth="1"/>
    <col min="2" max="8" width="10.21875" style="13" customWidth="1"/>
    <col min="9" max="9" width="7.6640625" style="1" customWidth="1"/>
    <col min="10" max="10" width="9" style="1"/>
    <col min="11" max="11" width="3.109375" style="1" customWidth="1"/>
    <col min="12" max="16384" width="9" style="1"/>
  </cols>
  <sheetData>
    <row r="1" spans="1:24" ht="17.100000000000001" customHeight="1" thickBot="1" x14ac:dyDescent="0.25">
      <c r="A1" s="53" t="s">
        <v>56</v>
      </c>
      <c r="B1" s="251" t="s">
        <v>167</v>
      </c>
      <c r="C1" s="251"/>
      <c r="D1" s="251"/>
      <c r="E1" s="251"/>
      <c r="F1" s="251"/>
      <c r="H1" s="354" t="s">
        <v>34</v>
      </c>
      <c r="I1" s="355"/>
      <c r="J1" s="356"/>
      <c r="K1" s="357"/>
    </row>
    <row r="2" spans="1:24" ht="17.100000000000001" customHeight="1" x14ac:dyDescent="0.2">
      <c r="A2" s="13"/>
      <c r="I2" s="13"/>
      <c r="J2" s="3"/>
      <c r="K2" s="4"/>
    </row>
    <row r="3" spans="1:24" ht="17.100000000000001" customHeight="1" x14ac:dyDescent="0.2">
      <c r="A3" s="21" t="s">
        <v>0</v>
      </c>
      <c r="B3" s="60">
        <v>46174</v>
      </c>
      <c r="C3" s="60">
        <v>46175</v>
      </c>
      <c r="D3" s="60">
        <v>46176</v>
      </c>
      <c r="E3" s="60">
        <v>46177</v>
      </c>
      <c r="F3" s="60">
        <v>46178</v>
      </c>
      <c r="G3" s="60">
        <v>46179</v>
      </c>
      <c r="H3" s="60">
        <v>46180</v>
      </c>
      <c r="I3" s="358" t="s">
        <v>1</v>
      </c>
      <c r="J3" s="360" t="s">
        <v>2</v>
      </c>
      <c r="K3" s="361"/>
    </row>
    <row r="4" spans="1:24" ht="17.100000000000001" customHeight="1" x14ac:dyDescent="0.2">
      <c r="A4" s="21" t="s">
        <v>3</v>
      </c>
      <c r="B4" s="2" t="s">
        <v>4</v>
      </c>
      <c r="C4" s="20" t="s">
        <v>5</v>
      </c>
      <c r="D4" s="20" t="s">
        <v>6</v>
      </c>
      <c r="E4" s="2" t="s">
        <v>7</v>
      </c>
      <c r="F4" s="2" t="s">
        <v>8</v>
      </c>
      <c r="G4" s="2" t="s">
        <v>9</v>
      </c>
      <c r="H4" s="23" t="s">
        <v>10</v>
      </c>
      <c r="I4" s="359"/>
      <c r="J4" s="362"/>
      <c r="K4" s="363"/>
    </row>
    <row r="5" spans="1:24" ht="15.75" customHeight="1" thickBot="1" x14ac:dyDescent="0.25">
      <c r="A5" s="204" t="s">
        <v>11</v>
      </c>
      <c r="B5" s="68"/>
      <c r="C5" s="205"/>
      <c r="D5" s="206"/>
      <c r="E5" s="68"/>
      <c r="F5" s="364" t="s">
        <v>50</v>
      </c>
      <c r="G5" s="364"/>
      <c r="H5" s="364"/>
      <c r="I5" s="69"/>
      <c r="J5" s="334"/>
      <c r="K5" s="335"/>
    </row>
    <row r="6" spans="1:24" ht="17.100000000000001" customHeight="1" x14ac:dyDescent="0.2">
      <c r="A6" s="367" t="s">
        <v>14</v>
      </c>
      <c r="B6" s="75" t="s">
        <v>18</v>
      </c>
      <c r="C6" s="180"/>
      <c r="D6" s="76"/>
      <c r="E6" s="157" t="s">
        <v>134</v>
      </c>
      <c r="F6" s="157" t="s">
        <v>134</v>
      </c>
      <c r="G6" s="75"/>
      <c r="H6" s="75"/>
      <c r="I6" s="326">
        <v>4</v>
      </c>
      <c r="J6" s="328">
        <v>18</v>
      </c>
      <c r="K6" s="329"/>
      <c r="N6" s="6"/>
      <c r="O6" s="6"/>
      <c r="P6" s="6"/>
      <c r="Q6" s="6"/>
      <c r="R6" s="6"/>
      <c r="S6" s="6"/>
      <c r="T6" s="6"/>
      <c r="U6" s="6"/>
      <c r="V6" s="6"/>
      <c r="W6" s="6"/>
      <c r="X6" s="6"/>
    </row>
    <row r="7" spans="1:24" ht="17.100000000000001" customHeight="1" thickBot="1" x14ac:dyDescent="0.25">
      <c r="A7" s="368"/>
      <c r="B7" s="83"/>
      <c r="C7" s="207"/>
      <c r="D7" s="78"/>
      <c r="E7" s="77" t="s">
        <v>19</v>
      </c>
      <c r="F7" s="77" t="s">
        <v>19</v>
      </c>
      <c r="G7" s="77" t="s">
        <v>18</v>
      </c>
      <c r="H7" s="77"/>
      <c r="I7" s="327"/>
      <c r="J7" s="330"/>
      <c r="K7" s="331"/>
      <c r="N7" s="6"/>
      <c r="O7" s="6"/>
      <c r="P7" s="6"/>
      <c r="Q7" s="6"/>
      <c r="R7" s="6"/>
      <c r="S7" s="6"/>
      <c r="T7" s="6"/>
      <c r="U7" s="6"/>
      <c r="V7" s="6"/>
      <c r="W7" s="6"/>
      <c r="X7" s="6"/>
    </row>
    <row r="8" spans="1:24" ht="17.100000000000001" customHeight="1" x14ac:dyDescent="0.2">
      <c r="A8" s="41" t="s">
        <v>15</v>
      </c>
      <c r="B8" s="26" t="s">
        <v>19</v>
      </c>
      <c r="C8" s="179"/>
      <c r="D8" s="30"/>
      <c r="E8" s="48" t="s">
        <v>18</v>
      </c>
      <c r="F8" s="48" t="s">
        <v>18</v>
      </c>
      <c r="G8" s="48"/>
      <c r="H8" s="26" t="s">
        <v>18</v>
      </c>
      <c r="I8" s="37">
        <f t="shared" ref="I8:I9" si="0">COUNTIFS(B8:H8,"&lt;&gt;空",B8:H8,"&lt;&gt;休",B8:H8,"&lt;&gt;調",B8:H8,"&lt;&gt;",B8:H8,"&lt;&gt;調整休")</f>
        <v>4</v>
      </c>
      <c r="J8" s="321">
        <f>SUM(COUNTIF(B8:H8,"9-11,15-19"))*(6)+(COUNTIF(B8:H8,"9-12,16-19"))*(6)+(COUNTIF(B8:H8,"9-13,17-19"))*(6)+(COUNTIF(B8:H8,"9-19"))*(9)+(COUNTIF(B8:H8,"9-17"))*(7.25)+(COUNTIF(B8:H8,"9-16"))*(6.25)+(COUNTIF(B8:H8,"9-15"))*(5.5)+(COUNTIF(B8:H8,"9-14"))*(4.5)+(COUNTIF(B8:H8,"9-13"))*(4)+(COUNTIF(B8:H8,"9-12"))*(3)+(COUNTIF(B8:H8,"9-11:30"))*(2.5)+(COUNTIF(B8:H8,"13-19"))*(5.5)+(COUNTIF(B8:H8,"14-19"))*(4.5)+(COUNTIF(B8:H8,"15-19"))*(4)+(COUNTIF(B8:H8,"16-19"))*(3)+(COUNTIF(B8:H8,"16:30-19"))*(2.5)+(COUNTIF(B8:H8,"10-14"))*(4)+(COUNTIF(B8:H8,"10-15"))*(4.5)</f>
        <v>18</v>
      </c>
      <c r="K8" s="322"/>
    </row>
    <row r="9" spans="1:24" ht="17.100000000000001" customHeight="1" x14ac:dyDescent="0.2">
      <c r="A9" s="19" t="s">
        <v>16</v>
      </c>
      <c r="B9" s="11"/>
      <c r="C9" s="20"/>
      <c r="D9" s="28"/>
      <c r="E9" s="11"/>
      <c r="F9" s="47"/>
      <c r="G9" s="47" t="s">
        <v>19</v>
      </c>
      <c r="H9" s="11" t="s">
        <v>19</v>
      </c>
      <c r="I9" s="5">
        <f t="shared" si="0"/>
        <v>2</v>
      </c>
      <c r="J9" s="321">
        <f t="shared" ref="J9" si="1">SUM(COUNTIF(B9:H9,"9-11,15-19"))*(6)+(COUNTIF(B9:H9,"9-12,16-19"))*(6)+(COUNTIF(B9:H9,"9-13,17-19"))*(6)+(COUNTIF(B9:H9,"9-19"))*(9)+(COUNTIF(B9:H9,"9-17"))*(7.25)+(COUNTIF(B9:H9,"9-16"))*(6.25)+(COUNTIF(B9:H9,"9-15"))*(5.5)+(COUNTIF(B9:H9,"9-14"))*(4.5)+(COUNTIF(B9:H9,"9-13"))*(4)+(COUNTIF(B9:H9,"9-12"))*(3)+(COUNTIF(B9:H9,"9-11:30"))*(2.5)+(COUNTIF(B9:H9,"13-19"))*(5.5)+(COUNTIF(B9:H9,"14-19"))*(4.5)+(COUNTIF(B9:H9,"15-19"))*(4)+(COUNTIF(B9:H9,"16-19"))*(3)+(COUNTIF(B9:H9,"16:30-19"))*(2.5)+(COUNTIF(B9:H9,"10-14"))*(4)+(COUNTIF(B9:H9,"10-15"))*(4.5)</f>
        <v>9</v>
      </c>
      <c r="K9" s="322"/>
    </row>
    <row r="10" spans="1:24" ht="17.100000000000001" customHeight="1" x14ac:dyDescent="0.2">
      <c r="A10" s="38"/>
      <c r="B10" s="26"/>
      <c r="C10" s="74"/>
      <c r="D10" s="30"/>
      <c r="E10" s="11"/>
      <c r="F10" s="15"/>
      <c r="G10" s="15"/>
      <c r="H10" s="34"/>
      <c r="I10" s="5"/>
      <c r="J10" s="321"/>
      <c r="K10" s="322"/>
    </row>
    <row r="11" spans="1:24" ht="17.100000000000001" customHeight="1" x14ac:dyDescent="0.2">
      <c r="A11" s="29" t="s">
        <v>0</v>
      </c>
      <c r="B11" s="46">
        <v>46181</v>
      </c>
      <c r="C11" s="46">
        <v>46182</v>
      </c>
      <c r="D11" s="46">
        <v>46183</v>
      </c>
      <c r="E11" s="46">
        <v>46184</v>
      </c>
      <c r="F11" s="46">
        <v>46185</v>
      </c>
      <c r="G11" s="46">
        <v>46186</v>
      </c>
      <c r="H11" s="46">
        <v>46187</v>
      </c>
      <c r="I11" s="88"/>
      <c r="J11" s="360" t="s">
        <v>2</v>
      </c>
      <c r="K11" s="361"/>
    </row>
    <row r="12" spans="1:24" ht="17.100000000000001" customHeight="1" x14ac:dyDescent="0.2">
      <c r="A12" s="21" t="s">
        <v>3</v>
      </c>
      <c r="B12" s="2" t="s">
        <v>4</v>
      </c>
      <c r="C12" s="20" t="s">
        <v>5</v>
      </c>
      <c r="D12" s="20" t="s">
        <v>6</v>
      </c>
      <c r="E12" s="2" t="s">
        <v>7</v>
      </c>
      <c r="F12" s="2" t="s">
        <v>8</v>
      </c>
      <c r="G12" s="2" t="s">
        <v>9</v>
      </c>
      <c r="H12" s="23" t="s">
        <v>10</v>
      </c>
      <c r="I12" s="89"/>
      <c r="J12" s="362"/>
      <c r="K12" s="363"/>
    </row>
    <row r="13" spans="1:24" ht="17.100000000000001" customHeight="1" thickBot="1" x14ac:dyDescent="0.25">
      <c r="A13" s="204" t="s">
        <v>12</v>
      </c>
      <c r="B13" s="68"/>
      <c r="C13" s="205"/>
      <c r="D13" s="206"/>
      <c r="E13" s="68"/>
      <c r="F13" s="68"/>
      <c r="G13" s="68"/>
      <c r="H13" s="68"/>
      <c r="I13" s="69"/>
      <c r="J13" s="336"/>
      <c r="K13" s="335"/>
    </row>
    <row r="14" spans="1:24" ht="17.100000000000001" customHeight="1" x14ac:dyDescent="0.2">
      <c r="A14" s="367" t="s">
        <v>14</v>
      </c>
      <c r="B14" s="75" t="s">
        <v>18</v>
      </c>
      <c r="C14" s="180"/>
      <c r="D14" s="76"/>
      <c r="E14" s="157" t="s">
        <v>134</v>
      </c>
      <c r="F14" s="157" t="s">
        <v>134</v>
      </c>
      <c r="G14" s="196"/>
      <c r="H14" s="75"/>
      <c r="I14" s="326">
        <v>4</v>
      </c>
      <c r="J14" s="328">
        <v>18</v>
      </c>
      <c r="K14" s="329"/>
    </row>
    <row r="15" spans="1:24" ht="17.100000000000001" customHeight="1" thickBot="1" x14ac:dyDescent="0.25">
      <c r="A15" s="368"/>
      <c r="B15" s="83"/>
      <c r="C15" s="207"/>
      <c r="D15" s="78"/>
      <c r="E15" s="77" t="s">
        <v>19</v>
      </c>
      <c r="F15" s="77" t="s">
        <v>19</v>
      </c>
      <c r="G15" s="208" t="s">
        <v>19</v>
      </c>
      <c r="H15" s="77"/>
      <c r="I15" s="327"/>
      <c r="J15" s="330"/>
      <c r="K15" s="331"/>
    </row>
    <row r="16" spans="1:24" ht="17.100000000000001" customHeight="1" x14ac:dyDescent="0.2">
      <c r="A16" s="41" t="s">
        <v>15</v>
      </c>
      <c r="B16" s="26" t="s">
        <v>19</v>
      </c>
      <c r="C16" s="179"/>
      <c r="D16" s="30"/>
      <c r="E16" s="48" t="s">
        <v>18</v>
      </c>
      <c r="F16" s="48" t="s">
        <v>18</v>
      </c>
      <c r="G16" s="48"/>
      <c r="H16" s="26" t="s">
        <v>18</v>
      </c>
      <c r="I16" s="37">
        <f t="shared" ref="I16:I17" si="2">COUNTIFS(B16:H16,"&lt;&gt;空",B16:H16,"&lt;&gt;休",B16:H16,"&lt;&gt;調",B16:H16,"&lt;&gt;",B16:H16,"&lt;&gt;調整休")</f>
        <v>4</v>
      </c>
      <c r="J16" s="365">
        <f t="shared" ref="J16:J17" si="3">SUM(COUNTIF(B16:H16,"9-11,15-19"))*(6)+(COUNTIF(B16:H16,"9-12,16-19"))*(6)+(COUNTIF(B16:H16,"9-13,17-19"))*(6)+(COUNTIF(B16:H16,"9-19"))*(9)+(COUNTIF(B16:H16,"9-17"))*(7.25)+(COUNTIF(B16:H16,"9-16"))*(6.25)+(COUNTIF(B16:H16,"9-15"))*(5.5)+(COUNTIF(B16:H16,"9-14"))*(4.5)+(COUNTIF(B16:H16,"9-13"))*(4)+(COUNTIF(B16:H16,"9-12"))*(3)+(COUNTIF(B16:H16,"9-11:30"))*(2.5)+(COUNTIF(B16:H16,"13-19"))*(5.5)+(COUNTIF(B16:H16,"14-19"))*(4.5)+(COUNTIF(B16:H16,"15-19"))*(4)+(COUNTIF(B16:H16,"16-19"))*(3)+(COUNTIF(B16:H16,"16:30-19"))*(2.5)+(COUNTIF(B16:H16,"10-14"))*(4)+(COUNTIF(B16:H16,"10-15"))*(4.5)</f>
        <v>18</v>
      </c>
      <c r="K16" s="366"/>
    </row>
    <row r="17" spans="1:11" ht="17.100000000000001" customHeight="1" x14ac:dyDescent="0.2">
      <c r="A17" s="19" t="s">
        <v>16</v>
      </c>
      <c r="B17" s="11"/>
      <c r="C17" s="20"/>
      <c r="D17" s="28"/>
      <c r="E17" s="11"/>
      <c r="F17" s="47"/>
      <c r="G17" s="47" t="s">
        <v>18</v>
      </c>
      <c r="H17" s="11" t="s">
        <v>19</v>
      </c>
      <c r="I17" s="5">
        <f t="shared" si="2"/>
        <v>2</v>
      </c>
      <c r="J17" s="321">
        <f t="shared" si="3"/>
        <v>9</v>
      </c>
      <c r="K17" s="322"/>
    </row>
    <row r="18" spans="1:11" ht="17.100000000000001" customHeight="1" x14ac:dyDescent="0.2">
      <c r="A18" s="38"/>
      <c r="B18" s="26"/>
      <c r="C18" s="74"/>
      <c r="D18" s="30"/>
      <c r="E18" s="11"/>
      <c r="F18" s="15"/>
      <c r="G18" s="15"/>
      <c r="H18" s="34"/>
      <c r="I18" s="5"/>
      <c r="J18" s="321"/>
      <c r="K18" s="322"/>
    </row>
    <row r="19" spans="1:11" ht="17.100000000000001" customHeight="1" x14ac:dyDescent="0.2">
      <c r="A19" s="21" t="s">
        <v>0</v>
      </c>
      <c r="B19" s="22">
        <v>46188</v>
      </c>
      <c r="C19" s="22">
        <v>46189</v>
      </c>
      <c r="D19" s="22">
        <v>46190</v>
      </c>
      <c r="E19" s="22">
        <v>46191</v>
      </c>
      <c r="F19" s="22">
        <v>46192</v>
      </c>
      <c r="G19" s="22">
        <v>46193</v>
      </c>
      <c r="H19" s="22">
        <v>46194</v>
      </c>
      <c r="I19" s="88"/>
      <c r="J19" s="360" t="s">
        <v>2</v>
      </c>
      <c r="K19" s="361"/>
    </row>
    <row r="20" spans="1:11" ht="17.100000000000001" customHeight="1" x14ac:dyDescent="0.2">
      <c r="A20" s="21" t="s">
        <v>3</v>
      </c>
      <c r="B20" s="2" t="s">
        <v>4</v>
      </c>
      <c r="C20" s="20" t="s">
        <v>5</v>
      </c>
      <c r="D20" s="20" t="s">
        <v>6</v>
      </c>
      <c r="E20" s="2" t="s">
        <v>7</v>
      </c>
      <c r="F20" s="2" t="s">
        <v>8</v>
      </c>
      <c r="G20" s="2" t="s">
        <v>9</v>
      </c>
      <c r="H20" s="23" t="s">
        <v>10</v>
      </c>
      <c r="I20" s="89"/>
      <c r="J20" s="362"/>
      <c r="K20" s="363"/>
    </row>
    <row r="21" spans="1:11" ht="17.100000000000001" customHeight="1" thickBot="1" x14ac:dyDescent="0.25">
      <c r="A21" s="204" t="s">
        <v>11</v>
      </c>
      <c r="B21" s="68"/>
      <c r="C21" s="205"/>
      <c r="D21" s="206"/>
      <c r="E21" s="68"/>
      <c r="F21" s="68"/>
      <c r="G21" s="68"/>
      <c r="H21" s="68"/>
      <c r="I21" s="69"/>
      <c r="J21" s="334"/>
      <c r="K21" s="335"/>
    </row>
    <row r="22" spans="1:11" ht="17.100000000000001" customHeight="1" x14ac:dyDescent="0.2">
      <c r="A22" s="367" t="s">
        <v>14</v>
      </c>
      <c r="B22" s="75" t="s">
        <v>18</v>
      </c>
      <c r="C22" s="180"/>
      <c r="D22" s="76"/>
      <c r="E22" s="157" t="s">
        <v>134</v>
      </c>
      <c r="F22" s="157" t="s">
        <v>134</v>
      </c>
      <c r="G22" s="75"/>
      <c r="H22" s="75"/>
      <c r="I22" s="326">
        <f t="shared" ref="I22" si="4">COUNTIFS(B22:H22,"&lt;&gt;空",B22:H22,"&lt;&gt;休",B22:H22,"&lt;&gt;調",B22:H22,"&lt;&gt;",B22:H22,"&lt;&gt;調整休")</f>
        <v>3</v>
      </c>
      <c r="J22" s="328">
        <v>13.5</v>
      </c>
      <c r="K22" s="329"/>
    </row>
    <row r="23" spans="1:11" ht="17.100000000000001" customHeight="1" thickBot="1" x14ac:dyDescent="0.25">
      <c r="A23" s="368"/>
      <c r="B23" s="83"/>
      <c r="C23" s="207"/>
      <c r="D23" s="78"/>
      <c r="E23" s="77" t="s">
        <v>19</v>
      </c>
      <c r="F23" s="77" t="s">
        <v>19</v>
      </c>
      <c r="G23" s="185"/>
      <c r="H23" s="77"/>
      <c r="I23" s="327"/>
      <c r="J23" s="330"/>
      <c r="K23" s="331"/>
    </row>
    <row r="24" spans="1:11" ht="17.100000000000001" customHeight="1" x14ac:dyDescent="0.2">
      <c r="A24" s="41" t="s">
        <v>15</v>
      </c>
      <c r="B24" s="26" t="s">
        <v>19</v>
      </c>
      <c r="C24" s="179"/>
      <c r="D24" s="30"/>
      <c r="E24" s="48" t="s">
        <v>18</v>
      </c>
      <c r="F24" s="48" t="s">
        <v>18</v>
      </c>
      <c r="G24" s="48"/>
      <c r="H24" s="26" t="s">
        <v>18</v>
      </c>
      <c r="I24" s="37">
        <f t="shared" ref="I24:I25" si="5">COUNTIFS(B24:H24,"&lt;&gt;空",B24:H24,"&lt;&gt;休",B24:H24,"&lt;&gt;調",B24:H24,"&lt;&gt;",B24:H24,"&lt;&gt;調整休")</f>
        <v>4</v>
      </c>
      <c r="J24" s="365">
        <f t="shared" ref="J24:J25" si="6">SUM(COUNTIF(B24:H24,"9-11,15-19"))*(6)+(COUNTIF(B24:H24,"9-12,16-19"))*(6)+(COUNTIF(B24:H24,"9-13,17-19"))*(6)+(COUNTIF(B24:H24,"9-19"))*(9)+(COUNTIF(B24:H24,"9-17"))*(7.25)+(COUNTIF(B24:H24,"9-16"))*(6.25)+(COUNTIF(B24:H24,"9-15"))*(5.5)+(COUNTIF(B24:H24,"9-14"))*(4.5)+(COUNTIF(B24:H24,"9-13"))*(4)+(COUNTIF(B24:H24,"9-12"))*(3)+(COUNTIF(B24:H24,"9-11:30"))*(2.5)+(COUNTIF(B24:H24,"13-19"))*(5.5)+(COUNTIF(B24:H24,"14-19"))*(4.5)+(COUNTIF(B24:H24,"15-19"))*(4)+(COUNTIF(B24:H24,"16-19"))*(3)+(COUNTIF(B24:H24,"16:30-19"))*(2.5)+(COUNTIF(B24:H24,"10-14"))*(4)+(COUNTIF(B24:H24,"10-15"))*(4.5)</f>
        <v>18</v>
      </c>
      <c r="K24" s="366"/>
    </row>
    <row r="25" spans="1:11" ht="17.100000000000001" customHeight="1" x14ac:dyDescent="0.2">
      <c r="A25" s="19" t="s">
        <v>16</v>
      </c>
      <c r="B25" s="11"/>
      <c r="C25" s="20"/>
      <c r="D25" s="28"/>
      <c r="E25" s="11"/>
      <c r="F25" s="47"/>
      <c r="G25" s="11" t="s">
        <v>19</v>
      </c>
      <c r="H25" s="11" t="s">
        <v>19</v>
      </c>
      <c r="I25" s="5">
        <f t="shared" si="5"/>
        <v>2</v>
      </c>
      <c r="J25" s="321">
        <f t="shared" si="6"/>
        <v>9</v>
      </c>
      <c r="K25" s="322"/>
    </row>
    <row r="26" spans="1:11" ht="17.100000000000001" customHeight="1" x14ac:dyDescent="0.2">
      <c r="A26" s="38"/>
      <c r="B26" s="26"/>
      <c r="C26" s="74"/>
      <c r="D26" s="30"/>
      <c r="E26" s="11"/>
      <c r="F26" s="15"/>
      <c r="G26" s="17" t="s">
        <v>166</v>
      </c>
      <c r="H26" s="34"/>
      <c r="I26" s="5"/>
      <c r="J26" s="321"/>
      <c r="K26" s="322"/>
    </row>
    <row r="27" spans="1:11" ht="17.100000000000001" customHeight="1" x14ac:dyDescent="0.2">
      <c r="A27" s="21" t="s">
        <v>0</v>
      </c>
      <c r="B27" s="60">
        <v>46195</v>
      </c>
      <c r="C27" s="60">
        <v>46196</v>
      </c>
      <c r="D27" s="60">
        <v>46197</v>
      </c>
      <c r="E27" s="60">
        <v>46198</v>
      </c>
      <c r="F27" s="60">
        <v>46199</v>
      </c>
      <c r="G27" s="60">
        <v>46200</v>
      </c>
      <c r="H27" s="60">
        <v>46201</v>
      </c>
      <c r="I27" s="88"/>
      <c r="J27" s="360" t="s">
        <v>2</v>
      </c>
      <c r="K27" s="361"/>
    </row>
    <row r="28" spans="1:11" ht="17.100000000000001" customHeight="1" x14ac:dyDescent="0.2">
      <c r="A28" s="21" t="s">
        <v>3</v>
      </c>
      <c r="B28" s="2" t="s">
        <v>4</v>
      </c>
      <c r="C28" s="20" t="s">
        <v>5</v>
      </c>
      <c r="D28" s="20" t="s">
        <v>6</v>
      </c>
      <c r="E28" s="2" t="s">
        <v>7</v>
      </c>
      <c r="F28" s="2" t="s">
        <v>8</v>
      </c>
      <c r="G28" s="2" t="s">
        <v>9</v>
      </c>
      <c r="H28" s="23" t="s">
        <v>10</v>
      </c>
      <c r="I28" s="89"/>
      <c r="J28" s="362"/>
      <c r="K28" s="363"/>
    </row>
    <row r="29" spans="1:11" ht="17.100000000000001" customHeight="1" thickBot="1" x14ac:dyDescent="0.25">
      <c r="A29" s="204" t="s">
        <v>12</v>
      </c>
      <c r="B29" s="68"/>
      <c r="C29" s="205"/>
      <c r="D29" s="206"/>
      <c r="E29" s="68"/>
      <c r="F29" s="68"/>
      <c r="G29" s="68"/>
      <c r="H29" s="68"/>
      <c r="I29" s="69"/>
      <c r="J29" s="336"/>
      <c r="K29" s="335"/>
    </row>
    <row r="30" spans="1:11" ht="17.100000000000001" customHeight="1" x14ac:dyDescent="0.2">
      <c r="A30" s="367" t="s">
        <v>14</v>
      </c>
      <c r="B30" s="75" t="s">
        <v>18</v>
      </c>
      <c r="C30" s="180"/>
      <c r="D30" s="76"/>
      <c r="E30" s="157" t="s">
        <v>134</v>
      </c>
      <c r="F30" s="157" t="s">
        <v>134</v>
      </c>
      <c r="G30" s="196"/>
      <c r="H30" s="75"/>
      <c r="I30" s="326">
        <v>4</v>
      </c>
      <c r="J30" s="328">
        <v>18</v>
      </c>
      <c r="K30" s="329"/>
    </row>
    <row r="31" spans="1:11" ht="17.100000000000001" customHeight="1" thickBot="1" x14ac:dyDescent="0.25">
      <c r="A31" s="368"/>
      <c r="B31" s="83"/>
      <c r="C31" s="207"/>
      <c r="D31" s="78"/>
      <c r="E31" s="77" t="s">
        <v>19</v>
      </c>
      <c r="F31" s="77" t="s">
        <v>19</v>
      </c>
      <c r="G31" s="208" t="s">
        <v>19</v>
      </c>
      <c r="H31" s="77"/>
      <c r="I31" s="327"/>
      <c r="J31" s="330"/>
      <c r="K31" s="331"/>
    </row>
    <row r="32" spans="1:11" ht="17.100000000000001" customHeight="1" x14ac:dyDescent="0.2">
      <c r="A32" s="41" t="s">
        <v>15</v>
      </c>
      <c r="B32" s="54"/>
      <c r="C32" s="179"/>
      <c r="D32" s="30"/>
      <c r="E32" s="48" t="s">
        <v>18</v>
      </c>
      <c r="F32" s="48" t="s">
        <v>18</v>
      </c>
      <c r="G32" s="48"/>
      <c r="H32" s="26" t="s">
        <v>18</v>
      </c>
      <c r="I32" s="37">
        <f t="shared" ref="I32:I33" si="7">COUNTIFS(B32:H32,"&lt;&gt;空",B32:H32,"&lt;&gt;休",B32:H32,"&lt;&gt;調",B32:H32,"&lt;&gt;",B32:H32,"&lt;&gt;調整休")</f>
        <v>3</v>
      </c>
      <c r="J32" s="365">
        <f t="shared" ref="J32:J33" si="8">SUM(COUNTIF(B32:H32,"9-11,15-19"))*(6)+(COUNTIF(B32:H32,"9-12,16-19"))*(6)+(COUNTIF(B32:H32,"9-13,17-19"))*(6)+(COUNTIF(B32:H32,"9-19"))*(9)+(COUNTIF(B32:H32,"9-17"))*(7.25)+(COUNTIF(B32:H32,"9-16"))*(6.25)+(COUNTIF(B32:H32,"9-15"))*(5.5)+(COUNTIF(B32:H32,"9-14"))*(4.5)+(COUNTIF(B32:H32,"9-13"))*(4)+(COUNTIF(B32:H32,"9-12"))*(3)+(COUNTIF(B32:H32,"9-11:30"))*(2.5)+(COUNTIF(B32:H32,"13-19"))*(5.5)+(COUNTIF(B32:H32,"14-19"))*(4.5)+(COUNTIF(B32:H32,"15-19"))*(4)+(COUNTIF(B32:H32,"16-19"))*(3)+(COUNTIF(B32:H32,"16:30-19"))*(2.5)+(COUNTIF(B32:H32,"10-14"))*(4)+(COUNTIF(B32:H32,"10-15"))*(4.5)</f>
        <v>13.5</v>
      </c>
      <c r="K32" s="366"/>
    </row>
    <row r="33" spans="1:14" ht="17.100000000000001" customHeight="1" x14ac:dyDescent="0.2">
      <c r="A33" s="19" t="s">
        <v>16</v>
      </c>
      <c r="B33" s="47" t="s">
        <v>19</v>
      </c>
      <c r="C33" s="20"/>
      <c r="D33" s="28"/>
      <c r="E33" s="11"/>
      <c r="F33" s="47"/>
      <c r="G33" s="47" t="s">
        <v>18</v>
      </c>
      <c r="H33" s="11" t="s">
        <v>19</v>
      </c>
      <c r="I33" s="5">
        <f t="shared" si="7"/>
        <v>3</v>
      </c>
      <c r="J33" s="321">
        <f t="shared" si="8"/>
        <v>13.5</v>
      </c>
      <c r="K33" s="322"/>
    </row>
    <row r="34" spans="1:14" ht="17.100000000000001" customHeight="1" x14ac:dyDescent="0.2">
      <c r="A34" s="38"/>
      <c r="B34" s="26"/>
      <c r="C34" s="74"/>
      <c r="D34" s="30"/>
      <c r="E34" s="11"/>
      <c r="F34" s="15"/>
      <c r="G34" s="15"/>
      <c r="H34" s="34"/>
      <c r="I34" s="5"/>
      <c r="J34" s="321"/>
      <c r="K34" s="322"/>
    </row>
    <row r="35" spans="1:14" ht="17.100000000000001" customHeight="1" x14ac:dyDescent="0.2">
      <c r="A35" s="21" t="s">
        <v>0</v>
      </c>
      <c r="B35" s="22">
        <v>46202</v>
      </c>
      <c r="C35" s="22">
        <v>46203</v>
      </c>
      <c r="D35" s="22"/>
      <c r="E35" s="22"/>
      <c r="F35" s="22"/>
      <c r="G35" s="22"/>
      <c r="H35" s="22"/>
      <c r="I35" s="88"/>
      <c r="J35" s="360" t="s">
        <v>2</v>
      </c>
      <c r="K35" s="361"/>
    </row>
    <row r="36" spans="1:14" ht="17.100000000000001" customHeight="1" x14ac:dyDescent="0.2">
      <c r="A36" s="21" t="s">
        <v>3</v>
      </c>
      <c r="B36" s="2" t="s">
        <v>4</v>
      </c>
      <c r="C36" s="174" t="s">
        <v>5</v>
      </c>
      <c r="D36" s="174"/>
      <c r="E36" s="2"/>
      <c r="F36" s="2"/>
      <c r="G36" s="2"/>
      <c r="H36" s="23"/>
      <c r="I36" s="89"/>
      <c r="J36" s="362"/>
      <c r="K36" s="363"/>
    </row>
    <row r="37" spans="1:14" ht="17.100000000000001" customHeight="1" thickBot="1" x14ac:dyDescent="0.25">
      <c r="A37" s="204" t="s">
        <v>11</v>
      </c>
      <c r="B37" s="68"/>
      <c r="C37" s="205"/>
      <c r="D37" s="206"/>
      <c r="E37" s="206"/>
      <c r="F37" s="206"/>
      <c r="G37" s="206"/>
      <c r="H37" s="206"/>
      <c r="I37" s="69"/>
      <c r="J37" s="336"/>
      <c r="K37" s="335"/>
    </row>
    <row r="38" spans="1:14" ht="17.100000000000001" customHeight="1" x14ac:dyDescent="0.2">
      <c r="A38" s="367" t="s">
        <v>14</v>
      </c>
      <c r="B38" s="75" t="s">
        <v>18</v>
      </c>
      <c r="C38" s="180"/>
      <c r="D38" s="76"/>
      <c r="E38" s="76"/>
      <c r="F38" s="76"/>
      <c r="G38" s="76"/>
      <c r="H38" s="76"/>
      <c r="I38" s="326">
        <f t="shared" ref="I38" si="9">COUNTIFS(B38:H38,"&lt;&gt;空",B38:H38,"&lt;&gt;休",B38:H38,"&lt;&gt;調",B38:H38,"&lt;&gt;",B38:H38,"&lt;&gt;調整休")</f>
        <v>1</v>
      </c>
      <c r="J38" s="328">
        <v>4.5</v>
      </c>
      <c r="K38" s="329"/>
    </row>
    <row r="39" spans="1:14" ht="17.100000000000001" customHeight="1" thickBot="1" x14ac:dyDescent="0.25">
      <c r="A39" s="368"/>
      <c r="B39" s="83"/>
      <c r="C39" s="207"/>
      <c r="D39" s="78"/>
      <c r="E39" s="78"/>
      <c r="F39" s="78"/>
      <c r="G39" s="78"/>
      <c r="H39" s="78"/>
      <c r="I39" s="327"/>
      <c r="J39" s="330"/>
      <c r="K39" s="331"/>
    </row>
    <row r="40" spans="1:14" ht="17.100000000000001" customHeight="1" x14ac:dyDescent="0.2">
      <c r="A40" s="41" t="s">
        <v>15</v>
      </c>
      <c r="B40" s="26" t="s">
        <v>19</v>
      </c>
      <c r="C40" s="179"/>
      <c r="D40" s="30"/>
      <c r="E40" s="30"/>
      <c r="F40" s="30"/>
      <c r="G40" s="30"/>
      <c r="H40" s="30"/>
      <c r="I40" s="37">
        <f t="shared" ref="I40:I41" si="10">COUNTIFS(B40:H40,"&lt;&gt;空",B40:H40,"&lt;&gt;休",B40:H40,"&lt;&gt;調",B40:H40,"&lt;&gt;",B40:H40,"&lt;&gt;調整休")</f>
        <v>1</v>
      </c>
      <c r="J40" s="365">
        <f t="shared" ref="J40:J41" si="11">SUM(COUNTIF(B40:H40,"9-11,15-19"))*(6)+(COUNTIF(B40:H40,"9-12,16-19"))*(6)+(COUNTIF(B40:H40,"9-13,17-19"))*(6)+(COUNTIF(B40:H40,"9-19"))*(9)+(COUNTIF(B40:H40,"9-17"))*(7.25)+(COUNTIF(B40:H40,"9-16"))*(6.25)+(COUNTIF(B40:H40,"9-15"))*(5.5)+(COUNTIF(B40:H40,"9-14"))*(4.5)+(COUNTIF(B40:H40,"9-13"))*(4)+(COUNTIF(B40:H40,"9-12"))*(3)+(COUNTIF(B40:H40,"9-11:30"))*(2.5)+(COUNTIF(B40:H40,"13-19"))*(5.5)+(COUNTIF(B40:H40,"14-19"))*(4.5)+(COUNTIF(B40:H40,"15-19"))*(4)+(COUNTIF(B40:H40,"16-19"))*(3)+(COUNTIF(B40:H40,"16:30-19"))*(2.5)+(COUNTIF(B40:H40,"10-14"))*(4)+(COUNTIF(B40:H40,"10-15"))*(4.5)</f>
        <v>4.5</v>
      </c>
      <c r="K40" s="366"/>
    </row>
    <row r="41" spans="1:14" ht="17.100000000000001" customHeight="1" x14ac:dyDescent="0.2">
      <c r="A41" s="19" t="s">
        <v>16</v>
      </c>
      <c r="B41" s="11"/>
      <c r="C41" s="20"/>
      <c r="D41" s="28"/>
      <c r="E41" s="28"/>
      <c r="F41" s="28"/>
      <c r="G41" s="28"/>
      <c r="H41" s="28"/>
      <c r="I41" s="5">
        <f t="shared" si="10"/>
        <v>0</v>
      </c>
      <c r="J41" s="321">
        <f t="shared" si="11"/>
        <v>0</v>
      </c>
      <c r="K41" s="322"/>
    </row>
    <row r="42" spans="1:14" ht="17.100000000000001" customHeight="1" x14ac:dyDescent="0.2">
      <c r="A42" s="38"/>
      <c r="B42" s="26"/>
      <c r="C42" s="74"/>
      <c r="D42" s="30"/>
      <c r="E42" s="30"/>
      <c r="F42" s="30"/>
      <c r="G42" s="30"/>
      <c r="H42" s="30"/>
      <c r="I42" s="5"/>
      <c r="J42" s="321"/>
      <c r="K42" s="322"/>
    </row>
    <row r="43" spans="1:14" ht="17.100000000000001" customHeight="1" x14ac:dyDescent="0.2">
      <c r="A43" s="35"/>
      <c r="B43" s="36"/>
      <c r="C43" s="36"/>
      <c r="D43" s="36"/>
      <c r="E43" s="36"/>
      <c r="F43" s="36"/>
      <c r="G43" s="36"/>
      <c r="H43" s="36"/>
      <c r="I43" s="369" t="s">
        <v>189</v>
      </c>
      <c r="J43" s="369"/>
      <c r="K43" s="369"/>
    </row>
    <row r="44" spans="1:14" ht="14.4" customHeight="1" x14ac:dyDescent="0.2">
      <c r="A44" s="270" t="s">
        <v>29</v>
      </c>
      <c r="B44" s="271"/>
      <c r="C44" s="12"/>
      <c r="D44" s="272" t="s">
        <v>26</v>
      </c>
      <c r="E44" s="272"/>
      <c r="H44" s="9"/>
      <c r="I44" s="9"/>
      <c r="M44" s="13"/>
      <c r="N44" s="14"/>
    </row>
    <row r="45" spans="1:14" ht="14.4" customHeight="1" x14ac:dyDescent="0.2">
      <c r="A45" s="265" t="s">
        <v>63</v>
      </c>
      <c r="B45" s="266"/>
      <c r="C45" s="267" t="s">
        <v>67</v>
      </c>
      <c r="D45" s="268"/>
      <c r="E45" s="268"/>
      <c r="F45" s="268"/>
      <c r="G45" s="268"/>
      <c r="H45" s="268"/>
      <c r="I45" s="268"/>
      <c r="J45" s="268"/>
      <c r="K45" s="268"/>
      <c r="M45" s="13"/>
      <c r="N45" s="14"/>
    </row>
    <row r="46" spans="1:14" ht="14.4" customHeight="1" x14ac:dyDescent="0.2">
      <c r="A46" s="265" t="s">
        <v>64</v>
      </c>
      <c r="B46" s="266"/>
      <c r="C46" s="267" t="s">
        <v>68</v>
      </c>
      <c r="D46" s="268"/>
      <c r="E46" s="268"/>
      <c r="F46" s="268"/>
      <c r="G46" s="268"/>
      <c r="H46" s="268"/>
      <c r="I46" s="268"/>
      <c r="J46" s="268"/>
      <c r="K46" s="268"/>
    </row>
    <row r="47" spans="1:14" ht="14.4" customHeight="1" x14ac:dyDescent="0.2">
      <c r="A47" s="64" t="s">
        <v>65</v>
      </c>
      <c r="B47" s="65"/>
      <c r="C47" s="282" t="s">
        <v>25</v>
      </c>
      <c r="D47" s="273"/>
      <c r="E47" s="273"/>
      <c r="F47" s="273"/>
      <c r="G47" s="273"/>
      <c r="H47" s="273"/>
      <c r="I47" s="273"/>
      <c r="J47" s="273"/>
      <c r="K47" s="273"/>
    </row>
    <row r="48" spans="1:14" ht="14.4" customHeight="1" x14ac:dyDescent="0.2">
      <c r="A48" s="64" t="s">
        <v>66</v>
      </c>
      <c r="B48" s="65"/>
      <c r="C48" s="66" t="s">
        <v>27</v>
      </c>
      <c r="D48" s="67"/>
      <c r="E48" s="67"/>
      <c r="F48" s="67"/>
      <c r="G48" s="67"/>
      <c r="H48" s="67"/>
      <c r="I48" s="67"/>
      <c r="J48" s="67"/>
      <c r="K48" s="67"/>
    </row>
    <row r="49" spans="1:11" ht="14.4" customHeight="1" x14ac:dyDescent="0.2">
      <c r="A49" s="283"/>
      <c r="B49" s="284"/>
      <c r="C49" s="282" t="s">
        <v>69</v>
      </c>
      <c r="D49" s="273"/>
      <c r="E49" s="273"/>
      <c r="F49" s="273"/>
      <c r="G49" s="273"/>
      <c r="H49" s="273"/>
      <c r="I49" s="273"/>
      <c r="J49" s="273"/>
      <c r="K49" s="273"/>
    </row>
    <row r="50" spans="1:11" ht="14.4" customHeight="1" x14ac:dyDescent="0.2">
      <c r="A50" s="285" t="s">
        <v>169</v>
      </c>
      <c r="B50" s="286"/>
      <c r="C50" s="67" t="s">
        <v>28</v>
      </c>
      <c r="D50" s="67"/>
      <c r="E50" s="67"/>
      <c r="F50" s="67"/>
      <c r="G50" s="67"/>
      <c r="H50" s="67"/>
      <c r="I50" s="67"/>
      <c r="J50" s="67"/>
      <c r="K50" s="67"/>
    </row>
    <row r="51" spans="1:11" ht="14.4" customHeight="1" x14ac:dyDescent="0.2">
      <c r="A51" s="274" t="s">
        <v>172</v>
      </c>
      <c r="B51" s="275"/>
      <c r="C51" s="273" t="s">
        <v>74</v>
      </c>
      <c r="D51" s="273"/>
      <c r="E51" s="273"/>
      <c r="F51" s="273"/>
      <c r="G51" s="273"/>
      <c r="H51" s="273"/>
      <c r="I51" s="273"/>
      <c r="J51" s="273"/>
      <c r="K51" s="273"/>
    </row>
    <row r="52" spans="1:11" ht="14.4" customHeight="1" x14ac:dyDescent="0.2">
      <c r="A52" s="276"/>
      <c r="B52" s="277"/>
      <c r="C52" s="280" t="s">
        <v>170</v>
      </c>
      <c r="D52" s="281"/>
      <c r="E52" s="281"/>
      <c r="F52" s="281"/>
      <c r="G52" s="281"/>
      <c r="H52" s="281"/>
      <c r="I52" s="281"/>
      <c r="J52" s="243"/>
      <c r="K52" s="243"/>
    </row>
    <row r="53" spans="1:11" ht="17.100000000000001" customHeight="1" x14ac:dyDescent="0.2">
      <c r="A53" s="278"/>
      <c r="B53" s="279"/>
      <c r="C53" s="280"/>
      <c r="D53" s="281"/>
      <c r="E53" s="281"/>
      <c r="F53" s="281"/>
      <c r="G53" s="281"/>
      <c r="H53" s="281"/>
      <c r="I53" s="281"/>
    </row>
  </sheetData>
  <mergeCells count="58">
    <mergeCell ref="A50:B50"/>
    <mergeCell ref="C51:K51"/>
    <mergeCell ref="A51:B53"/>
    <mergeCell ref="C52:I53"/>
    <mergeCell ref="A49:B49"/>
    <mergeCell ref="C49:K49"/>
    <mergeCell ref="J40:K40"/>
    <mergeCell ref="J41:K41"/>
    <mergeCell ref="J42:K42"/>
    <mergeCell ref="I43:K43"/>
    <mergeCell ref="A44:B44"/>
    <mergeCell ref="D44:E44"/>
    <mergeCell ref="A45:B45"/>
    <mergeCell ref="C45:K45"/>
    <mergeCell ref="A46:B46"/>
    <mergeCell ref="C46:K46"/>
    <mergeCell ref="C47:K47"/>
    <mergeCell ref="A38:A39"/>
    <mergeCell ref="I38:I39"/>
    <mergeCell ref="J38:K39"/>
    <mergeCell ref="J24:K24"/>
    <mergeCell ref="J25:K25"/>
    <mergeCell ref="J26:K26"/>
    <mergeCell ref="J27:K28"/>
    <mergeCell ref="J29:K29"/>
    <mergeCell ref="A30:A31"/>
    <mergeCell ref="I30:I31"/>
    <mergeCell ref="J30:K31"/>
    <mergeCell ref="J32:K32"/>
    <mergeCell ref="J33:K33"/>
    <mergeCell ref="J34:K34"/>
    <mergeCell ref="J35:K36"/>
    <mergeCell ref="J37:K37"/>
    <mergeCell ref="J17:K17"/>
    <mergeCell ref="J18:K18"/>
    <mergeCell ref="J19:K20"/>
    <mergeCell ref="J21:K21"/>
    <mergeCell ref="A22:A23"/>
    <mergeCell ref="I22:I23"/>
    <mergeCell ref="J22:K23"/>
    <mergeCell ref="J16:K16"/>
    <mergeCell ref="A6:A7"/>
    <mergeCell ref="I6:I7"/>
    <mergeCell ref="J6:K7"/>
    <mergeCell ref="J8:K8"/>
    <mergeCell ref="J9:K9"/>
    <mergeCell ref="J10:K10"/>
    <mergeCell ref="J11:K12"/>
    <mergeCell ref="J13:K13"/>
    <mergeCell ref="A14:A15"/>
    <mergeCell ref="I14:I15"/>
    <mergeCell ref="J14:K15"/>
    <mergeCell ref="B1:F1"/>
    <mergeCell ref="H1:K1"/>
    <mergeCell ref="I3:I4"/>
    <mergeCell ref="J3:K4"/>
    <mergeCell ref="F5:H5"/>
    <mergeCell ref="J5:K5"/>
  </mergeCells>
  <phoneticPr fontId="13"/>
  <pageMargins left="0.39370078740157483" right="0.27559055118110237" top="0.31496062992125984" bottom="0.11811023622047245" header="0.51181102362204722" footer="0.51181102362204722"/>
  <pageSetup paperSize="9" scale="95"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1897A3-4283-4DB7-8C75-71BF4241F807}">
  <sheetPr>
    <tabColor theme="7" tint="0.59999389629810485"/>
  </sheetPr>
  <dimension ref="A1:K55"/>
  <sheetViews>
    <sheetView zoomScaleNormal="100" workbookViewId="0">
      <selection activeCell="M55" sqref="M55"/>
    </sheetView>
  </sheetViews>
  <sheetFormatPr defaultColWidth="9" defaultRowHeight="13.2" x14ac:dyDescent="0.2"/>
  <cols>
    <col min="1" max="1" width="12.88671875" style="138" customWidth="1"/>
    <col min="2" max="8" width="8.33203125" style="138" customWidth="1"/>
    <col min="9" max="9" width="7.21875" style="138" customWidth="1"/>
    <col min="10" max="10" width="7.21875" style="136" customWidth="1"/>
    <col min="11" max="11" width="5.21875" style="136" customWidth="1"/>
    <col min="12" max="16384" width="9" style="136"/>
  </cols>
  <sheetData>
    <row r="1" spans="1:11" ht="15" thickBot="1" x14ac:dyDescent="0.25">
      <c r="A1" s="53" t="s">
        <v>56</v>
      </c>
      <c r="B1" s="293" t="s">
        <v>167</v>
      </c>
      <c r="C1" s="293"/>
      <c r="D1" s="293"/>
      <c r="E1" s="293"/>
      <c r="F1" s="293"/>
      <c r="G1" s="294"/>
      <c r="H1" s="381" t="s">
        <v>106</v>
      </c>
      <c r="I1" s="382"/>
      <c r="J1" s="382"/>
      <c r="K1" s="383"/>
    </row>
    <row r="2" spans="1:11" x14ac:dyDescent="0.2">
      <c r="A2" s="137"/>
    </row>
    <row r="3" spans="1:11" s="139" customFormat="1" ht="10.8" x14ac:dyDescent="0.2">
      <c r="A3" s="95" t="s">
        <v>0</v>
      </c>
      <c r="B3" s="116">
        <v>46174</v>
      </c>
      <c r="C3" s="116">
        <v>46175</v>
      </c>
      <c r="D3" s="116">
        <v>46176</v>
      </c>
      <c r="E3" s="116">
        <v>46177</v>
      </c>
      <c r="F3" s="116">
        <v>46178</v>
      </c>
      <c r="G3" s="116">
        <v>46179</v>
      </c>
      <c r="H3" s="116">
        <v>46180</v>
      </c>
      <c r="I3" s="373" t="s">
        <v>1</v>
      </c>
      <c r="J3" s="375" t="s">
        <v>2</v>
      </c>
      <c r="K3" s="376"/>
    </row>
    <row r="4" spans="1:11" s="138" customFormat="1" x14ac:dyDescent="0.2">
      <c r="A4" s="96" t="s">
        <v>3</v>
      </c>
      <c r="B4" s="98" t="s">
        <v>4</v>
      </c>
      <c r="C4" s="98" t="s">
        <v>5</v>
      </c>
      <c r="D4" s="98" t="s">
        <v>6</v>
      </c>
      <c r="E4" s="98" t="s">
        <v>7</v>
      </c>
      <c r="F4" s="98" t="s">
        <v>8</v>
      </c>
      <c r="G4" s="98" t="s">
        <v>9</v>
      </c>
      <c r="H4" s="99" t="s">
        <v>10</v>
      </c>
      <c r="I4" s="374"/>
      <c r="J4" s="377"/>
      <c r="K4" s="378"/>
    </row>
    <row r="5" spans="1:11" x14ac:dyDescent="0.2">
      <c r="A5" s="123" t="s">
        <v>94</v>
      </c>
      <c r="B5" s="143"/>
      <c r="C5" s="150"/>
      <c r="D5" s="150"/>
      <c r="E5" s="150"/>
      <c r="F5" s="152"/>
      <c r="G5" s="143"/>
      <c r="H5" s="143"/>
      <c r="I5" s="144"/>
      <c r="J5" s="371"/>
      <c r="K5" s="371"/>
    </row>
    <row r="6" spans="1:11" ht="15.75" customHeight="1" x14ac:dyDescent="0.2">
      <c r="A6" s="149" t="s">
        <v>107</v>
      </c>
      <c r="B6" s="167"/>
      <c r="C6" s="168"/>
      <c r="D6" s="168"/>
      <c r="E6" s="167"/>
      <c r="F6" s="166"/>
      <c r="G6" s="148" t="s">
        <v>140</v>
      </c>
      <c r="H6" s="148" t="s">
        <v>140</v>
      </c>
      <c r="I6" s="146">
        <f>COUNTA(B6:H6)</f>
        <v>2</v>
      </c>
      <c r="J6" s="370">
        <f>SUM(COUNTIF(B6:H6,"D 10:30-17"))*(6)+(COUNTIF(B6:H6,"Y 10:30-17"))*(6)+(COUNTIF(B6:H6,"Y工場10-"))*(4.5)</f>
        <v>12</v>
      </c>
      <c r="K6" s="370"/>
    </row>
    <row r="7" spans="1:11" ht="15.75" customHeight="1" x14ac:dyDescent="0.2">
      <c r="A7" s="149" t="s">
        <v>109</v>
      </c>
      <c r="B7" s="148" t="s">
        <v>108</v>
      </c>
      <c r="C7" s="168"/>
      <c r="D7" s="168"/>
      <c r="E7" s="148" t="s">
        <v>108</v>
      </c>
      <c r="F7" s="148" t="s">
        <v>108</v>
      </c>
      <c r="G7" s="166"/>
      <c r="H7" s="166"/>
      <c r="I7" s="146">
        <f t="shared" ref="I7:I8" si="0">COUNTA(B7:H7)</f>
        <v>3</v>
      </c>
      <c r="J7" s="370">
        <f>SUM(COUNTIF(B7:H7,"D 10:30-17"))*(6)+(COUNTIF(B7:H7,"Y 10:30-17"))*(6)+(COUNTIF(B7:H7,"Y工場10-"))*(4.5)+(COUNTIF(B7:H7,"Y 10-17"))*(6.25)</f>
        <v>18.75</v>
      </c>
      <c r="K7" s="370"/>
    </row>
    <row r="8" spans="1:11" ht="15.75" customHeight="1" x14ac:dyDescent="0.2">
      <c r="A8" s="149" t="s">
        <v>163</v>
      </c>
      <c r="B8" s="145" t="s">
        <v>164</v>
      </c>
      <c r="C8" s="168"/>
      <c r="D8" s="168"/>
      <c r="E8" s="239"/>
      <c r="F8" s="239"/>
      <c r="G8" s="145"/>
      <c r="H8" s="166"/>
      <c r="I8" s="146">
        <f t="shared" si="0"/>
        <v>1</v>
      </c>
      <c r="J8" s="370">
        <f>SUM(COUNTIF(B8:H8,"D 10:30-17"))*(6)+(COUNTIF(B8:H8,"Y 10:30-17"))*(6)+(COUNTIF(B8:H8,"Y工場10-"))*(4.5)+(COUNTIF(B8:H8,"D 10:45-17"))*(5.5)+(COUNTIF(B8:H8,"D 9-17"))*(7)</f>
        <v>5.5</v>
      </c>
      <c r="K8" s="370"/>
    </row>
    <row r="9" spans="1:11" ht="15.75" customHeight="1" x14ac:dyDescent="0.2">
      <c r="A9" s="149"/>
      <c r="B9" s="145"/>
      <c r="C9" s="168"/>
      <c r="D9" s="168"/>
      <c r="E9" s="145"/>
      <c r="F9" s="145"/>
      <c r="G9" s="145"/>
      <c r="H9" s="166"/>
      <c r="I9" s="146"/>
      <c r="J9" s="370"/>
      <c r="K9" s="370"/>
    </row>
    <row r="10" spans="1:11" ht="15.75" customHeight="1" x14ac:dyDescent="0.2">
      <c r="A10" s="123"/>
      <c r="B10" s="140"/>
      <c r="C10" s="140"/>
      <c r="D10" s="140"/>
      <c r="E10" s="150"/>
      <c r="F10" s="150"/>
      <c r="G10" s="150"/>
      <c r="H10" s="150"/>
      <c r="I10" s="144"/>
      <c r="J10" s="371"/>
      <c r="K10" s="371"/>
    </row>
    <row r="11" spans="1:11" ht="15.75" customHeight="1" x14ac:dyDescent="0.2">
      <c r="A11" s="145" t="s">
        <v>141</v>
      </c>
      <c r="B11" s="145"/>
      <c r="C11" s="147"/>
      <c r="D11" s="147"/>
      <c r="E11" s="145" t="s">
        <v>110</v>
      </c>
      <c r="F11" s="145" t="s">
        <v>110</v>
      </c>
      <c r="G11" s="145" t="s">
        <v>110</v>
      </c>
      <c r="H11" s="145" t="s">
        <v>110</v>
      </c>
      <c r="I11" s="151"/>
      <c r="J11" s="372"/>
      <c r="K11" s="372"/>
    </row>
    <row r="12" spans="1:11" ht="15.75" customHeight="1" x14ac:dyDescent="0.2">
      <c r="A12" s="148" t="s">
        <v>142</v>
      </c>
      <c r="B12" s="145"/>
      <c r="C12" s="147"/>
      <c r="D12" s="147"/>
      <c r="E12" s="145"/>
      <c r="F12" s="148"/>
      <c r="G12" s="145"/>
      <c r="H12" s="145"/>
      <c r="I12" s="146"/>
      <c r="J12" s="372"/>
      <c r="K12" s="372"/>
    </row>
    <row r="13" spans="1:11" s="139" customFormat="1" ht="10.8" x14ac:dyDescent="0.2">
      <c r="A13" s="110" t="s">
        <v>0</v>
      </c>
      <c r="B13" s="111">
        <v>46181</v>
      </c>
      <c r="C13" s="111">
        <v>46182</v>
      </c>
      <c r="D13" s="111">
        <v>46183</v>
      </c>
      <c r="E13" s="111">
        <v>46184</v>
      </c>
      <c r="F13" s="111">
        <v>46185</v>
      </c>
      <c r="G13" s="111">
        <v>46186</v>
      </c>
      <c r="H13" s="111">
        <v>46187</v>
      </c>
      <c r="I13" s="373" t="s">
        <v>1</v>
      </c>
      <c r="J13" s="379" t="s">
        <v>2</v>
      </c>
      <c r="K13" s="380"/>
    </row>
    <row r="14" spans="1:11" s="138" customFormat="1" x14ac:dyDescent="0.2">
      <c r="A14" s="96" t="s">
        <v>3</v>
      </c>
      <c r="B14" s="98" t="s">
        <v>4</v>
      </c>
      <c r="C14" s="98" t="s">
        <v>5</v>
      </c>
      <c r="D14" s="98" t="s">
        <v>6</v>
      </c>
      <c r="E14" s="98" t="s">
        <v>7</v>
      </c>
      <c r="F14" s="98" t="s">
        <v>8</v>
      </c>
      <c r="G14" s="98" t="s">
        <v>9</v>
      </c>
      <c r="H14" s="99" t="s">
        <v>10</v>
      </c>
      <c r="I14" s="374"/>
      <c r="J14" s="377"/>
      <c r="K14" s="378"/>
    </row>
    <row r="15" spans="1:11" x14ac:dyDescent="0.2">
      <c r="A15" s="142" t="s">
        <v>86</v>
      </c>
      <c r="B15" s="141"/>
      <c r="C15" s="150"/>
      <c r="D15" s="141"/>
      <c r="E15" s="150"/>
      <c r="F15" s="152"/>
      <c r="G15" s="143"/>
      <c r="H15" s="143"/>
      <c r="I15" s="144"/>
      <c r="J15" s="371"/>
      <c r="K15" s="371"/>
    </row>
    <row r="16" spans="1:11" ht="15.75" customHeight="1" x14ac:dyDescent="0.2">
      <c r="A16" s="149" t="s">
        <v>107</v>
      </c>
      <c r="B16" s="167"/>
      <c r="C16" s="168"/>
      <c r="D16" s="168"/>
      <c r="E16" s="167"/>
      <c r="F16" s="166"/>
      <c r="G16" s="148" t="s">
        <v>140</v>
      </c>
      <c r="H16" s="148" t="s">
        <v>140</v>
      </c>
      <c r="I16" s="146">
        <f>COUNTA(B16:H16)</f>
        <v>2</v>
      </c>
      <c r="J16" s="370">
        <f>SUM(COUNTIF(B16:H16,"D 10:30-17"))*(6)+(COUNTIF(B16:H16,"Y 10:30-17"))*(6)+(COUNTIF(B16:H16,"Y工場10-"))*(4.5)</f>
        <v>12</v>
      </c>
      <c r="K16" s="370"/>
    </row>
    <row r="17" spans="1:11" ht="15.75" customHeight="1" x14ac:dyDescent="0.2">
      <c r="A17" s="149" t="s">
        <v>109</v>
      </c>
      <c r="B17" s="148" t="s">
        <v>108</v>
      </c>
      <c r="C17" s="168"/>
      <c r="D17" s="168"/>
      <c r="E17" s="148" t="s">
        <v>108</v>
      </c>
      <c r="F17" s="148" t="s">
        <v>108</v>
      </c>
      <c r="G17" s="166"/>
      <c r="H17" s="166"/>
      <c r="I17" s="146">
        <f t="shared" ref="I17:I18" si="1">COUNTA(B17:H17)</f>
        <v>3</v>
      </c>
      <c r="J17" s="370">
        <f>SUM(COUNTIF(B17:H17,"D 10:30-17"))*(6)+(COUNTIF(B17:H17,"Y 10:30-17"))*(6)+(COUNTIF(B17:H17,"Y工場10-"))*(4.5)+(COUNTIF(B17:H17,"Y 10-17"))*(6.25)</f>
        <v>18.75</v>
      </c>
      <c r="K17" s="370"/>
    </row>
    <row r="18" spans="1:11" ht="15.75" customHeight="1" x14ac:dyDescent="0.2">
      <c r="A18" s="149" t="s">
        <v>163</v>
      </c>
      <c r="B18" s="145" t="s">
        <v>164</v>
      </c>
      <c r="C18" s="168"/>
      <c r="D18" s="168"/>
      <c r="E18" s="145" t="s">
        <v>164</v>
      </c>
      <c r="F18" s="145" t="s">
        <v>164</v>
      </c>
      <c r="G18" s="145"/>
      <c r="H18" s="166"/>
      <c r="I18" s="146">
        <f t="shared" si="1"/>
        <v>3</v>
      </c>
      <c r="J18" s="370">
        <f>SUM(COUNTIF(B18:H18,"D 10:30-17"))*(6)+(COUNTIF(B18:H18,"Y 10:30-17"))*(6)+(COUNTIF(B18:H18,"Y工場10-"))*(4.5)+(COUNTIF(B18:H18,"D 10:45-17"))*(5.5)+(COUNTIF(B18:H18,"D 9-17"))*(7)</f>
        <v>16.5</v>
      </c>
      <c r="K18" s="370"/>
    </row>
    <row r="19" spans="1:11" ht="15.75" customHeight="1" x14ac:dyDescent="0.2">
      <c r="A19" s="149"/>
      <c r="B19" s="145"/>
      <c r="C19" s="168"/>
      <c r="D19" s="168"/>
      <c r="E19" s="145"/>
      <c r="F19" s="145"/>
      <c r="G19" s="145"/>
      <c r="H19" s="166"/>
      <c r="I19" s="146"/>
      <c r="J19" s="370"/>
      <c r="K19" s="370"/>
    </row>
    <row r="20" spans="1:11" ht="15.75" customHeight="1" x14ac:dyDescent="0.2">
      <c r="A20" s="123"/>
      <c r="B20" s="140"/>
      <c r="C20" s="140"/>
      <c r="D20" s="140"/>
      <c r="E20" s="150"/>
      <c r="F20" s="150"/>
      <c r="G20" s="150"/>
      <c r="H20" s="150"/>
      <c r="I20" s="144"/>
      <c r="J20" s="371"/>
      <c r="K20" s="371"/>
    </row>
    <row r="21" spans="1:11" ht="15.75" customHeight="1" x14ac:dyDescent="0.2">
      <c r="A21" s="145" t="s">
        <v>141</v>
      </c>
      <c r="B21" s="145"/>
      <c r="C21" s="147"/>
      <c r="D21" s="147"/>
      <c r="E21" s="145"/>
      <c r="F21" s="145"/>
      <c r="G21" s="145" t="s">
        <v>110</v>
      </c>
      <c r="H21" s="145" t="s">
        <v>110</v>
      </c>
      <c r="I21" s="151"/>
      <c r="J21" s="372"/>
      <c r="K21" s="372"/>
    </row>
    <row r="22" spans="1:11" ht="15.75" customHeight="1" x14ac:dyDescent="0.2">
      <c r="A22" s="148" t="s">
        <v>142</v>
      </c>
      <c r="B22" s="145"/>
      <c r="C22" s="147"/>
      <c r="D22" s="147"/>
      <c r="E22" s="145"/>
      <c r="F22" s="148"/>
      <c r="G22" s="145"/>
      <c r="H22" s="145"/>
      <c r="I22" s="146"/>
      <c r="J22" s="372"/>
      <c r="K22" s="372"/>
    </row>
    <row r="23" spans="1:11" s="139" customFormat="1" ht="10.8" x14ac:dyDescent="0.2">
      <c r="A23" s="95" t="s">
        <v>0</v>
      </c>
      <c r="B23" s="116">
        <v>46188</v>
      </c>
      <c r="C23" s="116">
        <v>46189</v>
      </c>
      <c r="D23" s="116">
        <v>46190</v>
      </c>
      <c r="E23" s="116">
        <v>46191</v>
      </c>
      <c r="F23" s="116">
        <v>46192</v>
      </c>
      <c r="G23" s="116">
        <v>46193</v>
      </c>
      <c r="H23" s="116">
        <v>46194</v>
      </c>
      <c r="I23" s="373" t="s">
        <v>1</v>
      </c>
      <c r="J23" s="379" t="s">
        <v>2</v>
      </c>
      <c r="K23" s="380"/>
    </row>
    <row r="24" spans="1:11" s="138" customFormat="1" x14ac:dyDescent="0.2">
      <c r="A24" s="96" t="s">
        <v>3</v>
      </c>
      <c r="B24" s="98" t="s">
        <v>4</v>
      </c>
      <c r="C24" s="98" t="s">
        <v>5</v>
      </c>
      <c r="D24" s="98" t="s">
        <v>6</v>
      </c>
      <c r="E24" s="98" t="s">
        <v>7</v>
      </c>
      <c r="F24" s="98" t="s">
        <v>8</v>
      </c>
      <c r="G24" s="98" t="s">
        <v>9</v>
      </c>
      <c r="H24" s="99" t="s">
        <v>10</v>
      </c>
      <c r="I24" s="374"/>
      <c r="J24" s="377"/>
      <c r="K24" s="378"/>
    </row>
    <row r="25" spans="1:11" x14ac:dyDescent="0.2">
      <c r="A25" s="123" t="s">
        <v>94</v>
      </c>
      <c r="B25" s="143"/>
      <c r="C25" s="150"/>
      <c r="D25" s="141"/>
      <c r="E25" s="150"/>
      <c r="F25" s="152"/>
      <c r="G25" s="143"/>
      <c r="H25" s="143"/>
      <c r="I25" s="144"/>
      <c r="J25" s="371"/>
      <c r="K25" s="371"/>
    </row>
    <row r="26" spans="1:11" ht="15.75" customHeight="1" x14ac:dyDescent="0.2">
      <c r="A26" s="149" t="s">
        <v>107</v>
      </c>
      <c r="B26" s="167"/>
      <c r="C26" s="168"/>
      <c r="D26" s="168"/>
      <c r="E26" s="167"/>
      <c r="F26" s="166"/>
      <c r="G26" s="148" t="s">
        <v>140</v>
      </c>
      <c r="H26" s="148" t="s">
        <v>140</v>
      </c>
      <c r="I26" s="146">
        <f>COUNTA(B26:H26)</f>
        <v>2</v>
      </c>
      <c r="J26" s="370">
        <f>SUM(COUNTIF(B26:H26,"D 10:30-17"))*(6)+(COUNTIF(B26:H26,"Y 10:30-17"))*(6)+(COUNTIF(B26:H26,"Y工場10-"))*(4.5)</f>
        <v>12</v>
      </c>
      <c r="K26" s="370"/>
    </row>
    <row r="27" spans="1:11" ht="15.75" customHeight="1" x14ac:dyDescent="0.2">
      <c r="A27" s="149" t="s">
        <v>109</v>
      </c>
      <c r="B27" s="148" t="s">
        <v>108</v>
      </c>
      <c r="C27" s="168"/>
      <c r="D27" s="168"/>
      <c r="E27" s="148" t="s">
        <v>108</v>
      </c>
      <c r="F27" s="148" t="s">
        <v>108</v>
      </c>
      <c r="G27" s="166"/>
      <c r="H27" s="166"/>
      <c r="I27" s="146">
        <f t="shared" ref="I27:I28" si="2">COUNTA(B27:H27)</f>
        <v>3</v>
      </c>
      <c r="J27" s="370">
        <f>SUM(COUNTIF(B27:H27,"D 10:30-17"))*(6)+(COUNTIF(B27:H27,"Y 10:30-17"))*(6)+(COUNTIF(B27:H27,"Y工場10-"))*(4.5)+(COUNTIF(B27:H27,"Y 10-17"))*(6.25)</f>
        <v>18.75</v>
      </c>
      <c r="K27" s="370"/>
    </row>
    <row r="28" spans="1:11" ht="15.75" customHeight="1" x14ac:dyDescent="0.2">
      <c r="A28" s="149" t="s">
        <v>163</v>
      </c>
      <c r="B28" s="145" t="s">
        <v>164</v>
      </c>
      <c r="C28" s="168"/>
      <c r="D28" s="168"/>
      <c r="E28" s="145" t="s">
        <v>164</v>
      </c>
      <c r="F28" s="145" t="s">
        <v>164</v>
      </c>
      <c r="G28" s="145"/>
      <c r="H28" s="166"/>
      <c r="I28" s="146">
        <f t="shared" si="2"/>
        <v>3</v>
      </c>
      <c r="J28" s="370">
        <f>SUM(COUNTIF(B28:H28,"D 10:30-17"))*(6)+(COUNTIF(B28:H28,"Y 10:30-17"))*(6)+(COUNTIF(B28:H28,"Y工場10-"))*(4.5)+(COUNTIF(B28:H28,"D 10:45-17"))*(5.5)+(COUNTIF(B28:H28,"D 9-17"))*(7)</f>
        <v>16.5</v>
      </c>
      <c r="K28" s="370"/>
    </row>
    <row r="29" spans="1:11" ht="15.75" customHeight="1" x14ac:dyDescent="0.2">
      <c r="A29" s="149"/>
      <c r="B29" s="145"/>
      <c r="C29" s="168"/>
      <c r="D29" s="168"/>
      <c r="E29" s="145"/>
      <c r="F29" s="145"/>
      <c r="G29" s="145"/>
      <c r="H29" s="166"/>
      <c r="I29" s="146"/>
      <c r="J29" s="370"/>
      <c r="K29" s="370"/>
    </row>
    <row r="30" spans="1:11" ht="15.75" customHeight="1" x14ac:dyDescent="0.2">
      <c r="A30" s="123"/>
      <c r="B30" s="140"/>
      <c r="C30" s="140"/>
      <c r="D30" s="140"/>
      <c r="E30" s="150"/>
      <c r="F30" s="150"/>
      <c r="G30" s="150"/>
      <c r="H30" s="150"/>
      <c r="I30" s="144"/>
      <c r="J30" s="371"/>
      <c r="K30" s="371"/>
    </row>
    <row r="31" spans="1:11" ht="15.75" customHeight="1" x14ac:dyDescent="0.2">
      <c r="A31" s="145" t="s">
        <v>141</v>
      </c>
      <c r="B31" s="145"/>
      <c r="C31" s="147"/>
      <c r="D31" s="147"/>
      <c r="E31" s="145"/>
      <c r="F31" s="145"/>
      <c r="G31" s="145" t="s">
        <v>110</v>
      </c>
      <c r="H31" s="145" t="s">
        <v>110</v>
      </c>
      <c r="I31" s="151"/>
      <c r="J31" s="372"/>
      <c r="K31" s="372"/>
    </row>
    <row r="32" spans="1:11" ht="15.75" customHeight="1" x14ac:dyDescent="0.2">
      <c r="A32" s="148" t="s">
        <v>142</v>
      </c>
      <c r="B32" s="145"/>
      <c r="C32" s="147"/>
      <c r="D32" s="147"/>
      <c r="E32" s="145"/>
      <c r="F32" s="148"/>
      <c r="G32" s="145"/>
      <c r="H32" s="145"/>
      <c r="I32" s="153"/>
      <c r="J32" s="372"/>
      <c r="K32" s="372"/>
    </row>
    <row r="33" spans="1:11" s="139" customFormat="1" ht="10.8" x14ac:dyDescent="0.2">
      <c r="A33" s="95" t="s">
        <v>0</v>
      </c>
      <c r="B33" s="116">
        <v>46195</v>
      </c>
      <c r="C33" s="116">
        <v>46196</v>
      </c>
      <c r="D33" s="116">
        <v>46197</v>
      </c>
      <c r="E33" s="116">
        <v>46198</v>
      </c>
      <c r="F33" s="116">
        <v>46199</v>
      </c>
      <c r="G33" s="116">
        <v>46200</v>
      </c>
      <c r="H33" s="116">
        <v>46201</v>
      </c>
      <c r="I33" s="373" t="s">
        <v>1</v>
      </c>
      <c r="J33" s="375" t="s">
        <v>2</v>
      </c>
      <c r="K33" s="376"/>
    </row>
    <row r="34" spans="1:11" s="138" customFormat="1" x14ac:dyDescent="0.2">
      <c r="A34" s="96" t="s">
        <v>3</v>
      </c>
      <c r="B34" s="98" t="s">
        <v>4</v>
      </c>
      <c r="C34" s="98" t="s">
        <v>5</v>
      </c>
      <c r="D34" s="98" t="s">
        <v>6</v>
      </c>
      <c r="E34" s="98" t="s">
        <v>7</v>
      </c>
      <c r="F34" s="98" t="s">
        <v>8</v>
      </c>
      <c r="G34" s="98" t="s">
        <v>9</v>
      </c>
      <c r="H34" s="99" t="s">
        <v>10</v>
      </c>
      <c r="I34" s="374"/>
      <c r="J34" s="377"/>
      <c r="K34" s="378"/>
    </row>
    <row r="35" spans="1:11" x14ac:dyDescent="0.2">
      <c r="A35" s="142" t="s">
        <v>86</v>
      </c>
      <c r="B35" s="143"/>
      <c r="C35" s="141"/>
      <c r="D35" s="141"/>
      <c r="E35" s="150"/>
      <c r="F35" s="152"/>
      <c r="G35" s="143"/>
      <c r="H35" s="143"/>
      <c r="I35" s="144"/>
      <c r="J35" s="371"/>
      <c r="K35" s="371"/>
    </row>
    <row r="36" spans="1:11" ht="15.75" customHeight="1" x14ac:dyDescent="0.2">
      <c r="A36" s="149" t="s">
        <v>107</v>
      </c>
      <c r="B36" s="167"/>
      <c r="C36" s="168"/>
      <c r="D36" s="168"/>
      <c r="E36" s="167"/>
      <c r="F36" s="166"/>
      <c r="G36" s="148" t="s">
        <v>140</v>
      </c>
      <c r="H36" s="148" t="s">
        <v>140</v>
      </c>
      <c r="I36" s="146">
        <f>COUNTA(B36:H36)</f>
        <v>2</v>
      </c>
      <c r="J36" s="370">
        <f>SUM(COUNTIF(B36:H36,"D 10:30-17"))*(6)+(COUNTIF(B36:H36,"Y 10:30-17"))*(6)+(COUNTIF(B36:H36,"Y工場10-"))*(4.5)</f>
        <v>12</v>
      </c>
      <c r="K36" s="370"/>
    </row>
    <row r="37" spans="1:11" ht="15.75" customHeight="1" x14ac:dyDescent="0.2">
      <c r="A37" s="149" t="s">
        <v>109</v>
      </c>
      <c r="B37" s="148" t="s">
        <v>108</v>
      </c>
      <c r="C37" s="168"/>
      <c r="D37" s="168"/>
      <c r="E37" s="148" t="s">
        <v>108</v>
      </c>
      <c r="F37" s="148" t="s">
        <v>108</v>
      </c>
      <c r="G37" s="166"/>
      <c r="H37" s="166"/>
      <c r="I37" s="146">
        <f t="shared" ref="I37:I38" si="3">COUNTA(B37:H37)</f>
        <v>3</v>
      </c>
      <c r="J37" s="370">
        <f>SUM(COUNTIF(B37:H37,"D 10:30-17"))*(6)+(COUNTIF(B37:H37,"Y 10:30-17"))*(6)+(COUNTIF(B37:H37,"Y工場10-"))*(4.5)+(COUNTIF(B37:H37,"Y 10-17"))*(6.25)</f>
        <v>18.75</v>
      </c>
      <c r="K37" s="370"/>
    </row>
    <row r="38" spans="1:11" ht="15.75" customHeight="1" x14ac:dyDescent="0.2">
      <c r="A38" s="149" t="s">
        <v>163</v>
      </c>
      <c r="B38" s="145" t="s">
        <v>164</v>
      </c>
      <c r="C38" s="168"/>
      <c r="D38" s="168"/>
      <c r="E38" s="145" t="s">
        <v>164</v>
      </c>
      <c r="F38" s="145" t="s">
        <v>164</v>
      </c>
      <c r="G38" s="145"/>
      <c r="H38" s="166"/>
      <c r="I38" s="146">
        <f t="shared" si="3"/>
        <v>3</v>
      </c>
      <c r="J38" s="370">
        <f>SUM(COUNTIF(B38:H38,"D 10:30-17"))*(6)+(COUNTIF(B38:H38,"Y 10:30-17"))*(6)+(COUNTIF(B38:H38,"Y工場10-"))*(4.5)+(COUNTIF(B38:H38,"D 10:45-17"))*(5.5)+(COUNTIF(B38:H38,"D 9-17"))*(7)</f>
        <v>16.5</v>
      </c>
      <c r="K38" s="370"/>
    </row>
    <row r="39" spans="1:11" ht="15.75" customHeight="1" x14ac:dyDescent="0.2">
      <c r="A39" s="149"/>
      <c r="B39" s="145"/>
      <c r="C39" s="168"/>
      <c r="D39" s="168"/>
      <c r="E39" s="145"/>
      <c r="F39" s="145"/>
      <c r="G39" s="145"/>
      <c r="H39" s="166"/>
      <c r="I39" s="146"/>
      <c r="J39" s="370"/>
      <c r="K39" s="370"/>
    </row>
    <row r="40" spans="1:11" ht="15.75" customHeight="1" x14ac:dyDescent="0.2">
      <c r="A40" s="123"/>
      <c r="B40" s="140"/>
      <c r="C40" s="140"/>
      <c r="D40" s="140"/>
      <c r="E40" s="150"/>
      <c r="F40" s="150"/>
      <c r="G40" s="150"/>
      <c r="H40" s="150"/>
      <c r="I40" s="144"/>
      <c r="J40" s="371"/>
      <c r="K40" s="371"/>
    </row>
    <row r="41" spans="1:11" ht="15.75" customHeight="1" x14ac:dyDescent="0.2">
      <c r="A41" s="145" t="s">
        <v>141</v>
      </c>
      <c r="B41" s="145"/>
      <c r="C41" s="147"/>
      <c r="D41" s="147"/>
      <c r="E41" s="145"/>
      <c r="F41" s="145"/>
      <c r="G41" s="145" t="s">
        <v>110</v>
      </c>
      <c r="H41" s="145" t="s">
        <v>110</v>
      </c>
      <c r="I41" s="151"/>
      <c r="J41" s="372"/>
      <c r="K41" s="372"/>
    </row>
    <row r="42" spans="1:11" ht="15.75" customHeight="1" x14ac:dyDescent="0.2">
      <c r="A42" s="148" t="s">
        <v>142</v>
      </c>
      <c r="B42" s="145"/>
      <c r="C42" s="147"/>
      <c r="D42" s="147"/>
      <c r="E42" s="145"/>
      <c r="F42" s="148"/>
      <c r="G42" s="145"/>
      <c r="H42" s="145"/>
      <c r="I42" s="146"/>
      <c r="J42" s="372"/>
      <c r="K42" s="372"/>
    </row>
    <row r="43" spans="1:11" s="139" customFormat="1" ht="10.8" x14ac:dyDescent="0.2">
      <c r="A43" s="110" t="s">
        <v>0</v>
      </c>
      <c r="B43" s="111">
        <v>46202</v>
      </c>
      <c r="C43" s="111">
        <v>46203</v>
      </c>
      <c r="D43" s="111"/>
      <c r="E43" s="111"/>
      <c r="F43" s="111"/>
      <c r="G43" s="111"/>
      <c r="H43" s="111"/>
      <c r="I43" s="373" t="s">
        <v>1</v>
      </c>
      <c r="J43" s="379" t="s">
        <v>2</v>
      </c>
      <c r="K43" s="380"/>
    </row>
    <row r="44" spans="1:11" s="138" customFormat="1" x14ac:dyDescent="0.2">
      <c r="A44" s="96" t="s">
        <v>3</v>
      </c>
      <c r="B44" s="98" t="s">
        <v>4</v>
      </c>
      <c r="C44" s="98" t="s">
        <v>5</v>
      </c>
      <c r="D44" s="98"/>
      <c r="E44" s="98"/>
      <c r="F44" s="98"/>
      <c r="G44" s="98"/>
      <c r="H44" s="98"/>
      <c r="I44" s="374"/>
      <c r="J44" s="377"/>
      <c r="K44" s="378"/>
    </row>
    <row r="45" spans="1:11" x14ac:dyDescent="0.2">
      <c r="A45" s="123" t="s">
        <v>94</v>
      </c>
      <c r="B45" s="143"/>
      <c r="C45" s="141"/>
      <c r="D45" s="141"/>
      <c r="E45" s="141"/>
      <c r="F45" s="141"/>
      <c r="G45" s="141"/>
      <c r="H45" s="141"/>
      <c r="I45" s="144"/>
      <c r="J45" s="371"/>
      <c r="K45" s="371"/>
    </row>
    <row r="46" spans="1:11" ht="15.75" customHeight="1" x14ac:dyDescent="0.2">
      <c r="A46" s="149" t="s">
        <v>107</v>
      </c>
      <c r="B46" s="167"/>
      <c r="C46" s="168"/>
      <c r="D46" s="168"/>
      <c r="E46" s="168"/>
      <c r="F46" s="168"/>
      <c r="G46" s="168"/>
      <c r="H46" s="168"/>
      <c r="I46" s="146">
        <f>COUNTA(B46:H46)</f>
        <v>0</v>
      </c>
      <c r="J46" s="370">
        <f>SUM(COUNTIF(B46:H46,"D 10:30-17"))*(6)+(COUNTIF(B46:H46,"Y 10:30-17"))*(6)+(COUNTIF(B46:H46,"Y工場10-"))*(4.5)</f>
        <v>0</v>
      </c>
      <c r="K46" s="370"/>
    </row>
    <row r="47" spans="1:11" ht="15.75" customHeight="1" x14ac:dyDescent="0.2">
      <c r="A47" s="149" t="s">
        <v>109</v>
      </c>
      <c r="B47" s="148" t="s">
        <v>108</v>
      </c>
      <c r="C47" s="168"/>
      <c r="D47" s="168"/>
      <c r="E47" s="168"/>
      <c r="F47" s="168"/>
      <c r="G47" s="168"/>
      <c r="H47" s="168"/>
      <c r="I47" s="146">
        <f t="shared" ref="I47:I48" si="4">COUNTA(B47:H47)</f>
        <v>1</v>
      </c>
      <c r="J47" s="370">
        <f>SUM(COUNTIF(B47:H47,"D 10:30-17"))*(6)+(COUNTIF(B47:H47,"Y 10:30-17"))*(6)+(COUNTIF(B47:H47,"Y工場10-"))*(4.5)+(COUNTIF(B47:H47,"Y 10-17"))*(6.25)</f>
        <v>6.25</v>
      </c>
      <c r="K47" s="370"/>
    </row>
    <row r="48" spans="1:11" ht="15.75" customHeight="1" x14ac:dyDescent="0.2">
      <c r="A48" s="149" t="s">
        <v>163</v>
      </c>
      <c r="B48" s="145" t="s">
        <v>164</v>
      </c>
      <c r="C48" s="168"/>
      <c r="D48" s="168"/>
      <c r="E48" s="168"/>
      <c r="F48" s="168"/>
      <c r="G48" s="168"/>
      <c r="H48" s="168"/>
      <c r="I48" s="146">
        <f t="shared" si="4"/>
        <v>1</v>
      </c>
      <c r="J48" s="370">
        <f>SUM(COUNTIF(B48:H48,"D 10:30-17"))*(6)+(COUNTIF(B48:H48,"Y 10:30-17"))*(6)+(COUNTIF(B48:H48,"Y工場10-"))*(4.5)+(COUNTIF(B48:H48,"D 10:45-17"))*(5.5)+(COUNTIF(B48:H48,"D 9-17"))*(7)</f>
        <v>5.5</v>
      </c>
      <c r="K48" s="370"/>
    </row>
    <row r="49" spans="1:11" ht="15.75" customHeight="1" x14ac:dyDescent="0.2">
      <c r="A49" s="149"/>
      <c r="B49" s="145"/>
      <c r="C49" s="168"/>
      <c r="D49" s="168"/>
      <c r="E49" s="168"/>
      <c r="F49" s="168"/>
      <c r="G49" s="168"/>
      <c r="H49" s="168"/>
      <c r="I49" s="146"/>
      <c r="J49" s="370"/>
      <c r="K49" s="370"/>
    </row>
    <row r="50" spans="1:11" ht="15.75" customHeight="1" x14ac:dyDescent="0.2">
      <c r="A50" s="123"/>
      <c r="B50" s="140"/>
      <c r="C50" s="140"/>
      <c r="D50" s="140"/>
      <c r="E50" s="140"/>
      <c r="F50" s="140"/>
      <c r="G50" s="140"/>
      <c r="H50" s="140"/>
      <c r="I50" s="144"/>
      <c r="J50" s="371"/>
      <c r="K50" s="371"/>
    </row>
    <row r="51" spans="1:11" ht="15.75" customHeight="1" x14ac:dyDescent="0.2">
      <c r="A51" s="145" t="s">
        <v>141</v>
      </c>
      <c r="B51" s="145"/>
      <c r="C51" s="147"/>
      <c r="D51" s="147"/>
      <c r="E51" s="147"/>
      <c r="F51" s="147"/>
      <c r="G51" s="147"/>
      <c r="H51" s="147"/>
      <c r="I51" s="151"/>
      <c r="J51" s="372"/>
      <c r="K51" s="372"/>
    </row>
    <row r="52" spans="1:11" ht="15.75" customHeight="1" x14ac:dyDescent="0.2">
      <c r="A52" s="148" t="s">
        <v>142</v>
      </c>
      <c r="B52" s="145"/>
      <c r="C52" s="147"/>
      <c r="D52" s="147"/>
      <c r="E52" s="147"/>
      <c r="F52" s="147"/>
      <c r="G52" s="147"/>
      <c r="H52" s="147"/>
      <c r="I52" s="146"/>
      <c r="J52" s="372"/>
      <c r="K52" s="372"/>
    </row>
    <row r="53" spans="1:11" x14ac:dyDescent="0.15">
      <c r="A53" s="154"/>
      <c r="B53" s="154"/>
      <c r="C53" s="154"/>
      <c r="D53" s="154"/>
      <c r="E53" s="155"/>
      <c r="F53" s="155"/>
      <c r="G53" s="156"/>
      <c r="H53" s="156"/>
      <c r="I53" s="154"/>
      <c r="J53" s="314" t="s">
        <v>177</v>
      </c>
      <c r="K53" s="314"/>
    </row>
    <row r="54" spans="1:11" s="1" customFormat="1" ht="17.25" customHeight="1" x14ac:dyDescent="0.2">
      <c r="A54" s="304" t="s">
        <v>95</v>
      </c>
      <c r="B54" s="305"/>
      <c r="C54" s="308" t="s">
        <v>103</v>
      </c>
      <c r="D54" s="309"/>
      <c r="E54" s="309"/>
      <c r="F54" s="309" t="s">
        <v>97</v>
      </c>
      <c r="G54" s="309"/>
      <c r="H54" s="310"/>
      <c r="I54" s="9"/>
      <c r="J54" s="315"/>
      <c r="K54" s="315"/>
    </row>
    <row r="55" spans="1:11" s="1" customFormat="1" ht="17.25" customHeight="1" x14ac:dyDescent="0.15">
      <c r="A55" s="306"/>
      <c r="B55" s="307"/>
      <c r="C55" s="311" t="s">
        <v>104</v>
      </c>
      <c r="D55" s="312"/>
      <c r="E55" s="312"/>
      <c r="F55" s="312" t="s">
        <v>105</v>
      </c>
      <c r="G55" s="312"/>
      <c r="H55" s="313"/>
      <c r="I55" s="135"/>
      <c r="J55" s="135"/>
      <c r="K55" s="135"/>
    </row>
  </sheetData>
  <mergeCells count="58">
    <mergeCell ref="J12:K12"/>
    <mergeCell ref="J6:K6"/>
    <mergeCell ref="B1:G1"/>
    <mergeCell ref="H1:K1"/>
    <mergeCell ref="I3:I4"/>
    <mergeCell ref="J3:K4"/>
    <mergeCell ref="J5:K5"/>
    <mergeCell ref="J7:K7"/>
    <mergeCell ref="J8:K8"/>
    <mergeCell ref="J9:K9"/>
    <mergeCell ref="J10:K10"/>
    <mergeCell ref="J11:K11"/>
    <mergeCell ref="I23:I24"/>
    <mergeCell ref="J23:K24"/>
    <mergeCell ref="I13:I14"/>
    <mergeCell ref="J13:K14"/>
    <mergeCell ref="J15:K15"/>
    <mergeCell ref="J16:K16"/>
    <mergeCell ref="J17:K17"/>
    <mergeCell ref="J18:K18"/>
    <mergeCell ref="J30:K30"/>
    <mergeCell ref="J31:K31"/>
    <mergeCell ref="J32:K32"/>
    <mergeCell ref="J19:K19"/>
    <mergeCell ref="J20:K20"/>
    <mergeCell ref="J21:K21"/>
    <mergeCell ref="J22:K22"/>
    <mergeCell ref="J25:K25"/>
    <mergeCell ref="J26:K26"/>
    <mergeCell ref="J27:K27"/>
    <mergeCell ref="J28:K28"/>
    <mergeCell ref="J29:K29"/>
    <mergeCell ref="I33:I34"/>
    <mergeCell ref="J33:K34"/>
    <mergeCell ref="J35:K35"/>
    <mergeCell ref="J48:K48"/>
    <mergeCell ref="J37:K37"/>
    <mergeCell ref="J38:K38"/>
    <mergeCell ref="J39:K39"/>
    <mergeCell ref="J40:K40"/>
    <mergeCell ref="J41:K41"/>
    <mergeCell ref="J42:K42"/>
    <mergeCell ref="I43:I44"/>
    <mergeCell ref="J43:K44"/>
    <mergeCell ref="J45:K45"/>
    <mergeCell ref="J46:K46"/>
    <mergeCell ref="J47:K47"/>
    <mergeCell ref="J36:K36"/>
    <mergeCell ref="A54:B55"/>
    <mergeCell ref="C54:E54"/>
    <mergeCell ref="F54:H54"/>
    <mergeCell ref="C55:E55"/>
    <mergeCell ref="F55:H55"/>
    <mergeCell ref="J49:K49"/>
    <mergeCell ref="J50:K50"/>
    <mergeCell ref="J51:K51"/>
    <mergeCell ref="J52:K52"/>
    <mergeCell ref="J53:K54"/>
  </mergeCells>
  <phoneticPr fontId="13"/>
  <pageMargins left="0.51181102362204722" right="0.51181102362204722" top="0.55118110236220474" bottom="0.55118110236220474" header="0.31496062992125984" footer="0.31496062992125984"/>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24C68E-630B-4108-B414-2452367ED438}">
  <sheetPr>
    <tabColor theme="7" tint="0.59999389629810485"/>
    <pageSetUpPr fitToPage="1"/>
  </sheetPr>
  <dimension ref="A1:N68"/>
  <sheetViews>
    <sheetView zoomScaleNormal="100" workbookViewId="0">
      <selection activeCell="M28" sqref="M28"/>
    </sheetView>
  </sheetViews>
  <sheetFormatPr defaultColWidth="9" defaultRowHeight="14.4" customHeight="1" x14ac:dyDescent="0.2"/>
  <cols>
    <col min="1" max="1" width="11.88671875" style="1" customWidth="1"/>
    <col min="2" max="8" width="10.21875" style="13" customWidth="1"/>
    <col min="9" max="9" width="7.6640625" style="1" customWidth="1"/>
    <col min="10" max="10" width="9" style="1"/>
    <col min="11" max="11" width="3.109375" style="1" customWidth="1"/>
    <col min="12" max="16384" width="9" style="1"/>
  </cols>
  <sheetData>
    <row r="1" spans="1:11" ht="14.4" customHeight="1" thickBot="1" x14ac:dyDescent="0.25">
      <c r="A1" s="53" t="s">
        <v>56</v>
      </c>
      <c r="B1" s="251" t="s">
        <v>167</v>
      </c>
      <c r="C1" s="251"/>
      <c r="D1" s="251"/>
      <c r="E1" s="251"/>
      <c r="F1" s="251"/>
      <c r="H1" s="387" t="s">
        <v>35</v>
      </c>
      <c r="I1" s="388"/>
      <c r="J1" s="389"/>
      <c r="K1" s="390"/>
    </row>
    <row r="2" spans="1:11" ht="8.4" customHeight="1" x14ac:dyDescent="0.2">
      <c r="A2" s="13"/>
      <c r="I2" s="13"/>
      <c r="J2" s="3"/>
      <c r="K2" s="4"/>
    </row>
    <row r="3" spans="1:11" ht="14.4" customHeight="1" x14ac:dyDescent="0.2">
      <c r="A3" s="21" t="s">
        <v>0</v>
      </c>
      <c r="B3" s="22">
        <v>46174</v>
      </c>
      <c r="C3" s="22">
        <v>46175</v>
      </c>
      <c r="D3" s="22">
        <v>46176</v>
      </c>
      <c r="E3" s="22">
        <v>46177</v>
      </c>
      <c r="F3" s="22">
        <v>46178</v>
      </c>
      <c r="G3" s="22">
        <v>46179</v>
      </c>
      <c r="H3" s="22">
        <v>46180</v>
      </c>
      <c r="I3" s="384" t="s">
        <v>1</v>
      </c>
      <c r="J3" s="386" t="s">
        <v>2</v>
      </c>
      <c r="K3" s="386"/>
    </row>
    <row r="4" spans="1:11" ht="14.4" customHeight="1" x14ac:dyDescent="0.2">
      <c r="A4" s="21" t="s">
        <v>3</v>
      </c>
      <c r="B4" s="2" t="s">
        <v>4</v>
      </c>
      <c r="C4" s="20" t="s">
        <v>5</v>
      </c>
      <c r="D4" s="20" t="s">
        <v>6</v>
      </c>
      <c r="E4" s="2" t="s">
        <v>7</v>
      </c>
      <c r="F4" s="2" t="s">
        <v>8</v>
      </c>
      <c r="G4" s="2" t="s">
        <v>9</v>
      </c>
      <c r="H4" s="23" t="s">
        <v>10</v>
      </c>
      <c r="I4" s="385"/>
      <c r="J4" s="386"/>
      <c r="K4" s="386"/>
    </row>
    <row r="5" spans="1:11" ht="14.4" customHeight="1" x14ac:dyDescent="0.2">
      <c r="A5" s="86" t="s">
        <v>11</v>
      </c>
      <c r="B5" s="11"/>
      <c r="C5" s="20"/>
      <c r="D5" s="20"/>
      <c r="E5" s="11"/>
      <c r="F5" s="264" t="s">
        <v>50</v>
      </c>
      <c r="G5" s="264"/>
      <c r="H5" s="264"/>
      <c r="I5" s="5"/>
      <c r="J5" s="249"/>
      <c r="K5" s="250"/>
    </row>
    <row r="6" spans="1:11" ht="14.4" customHeight="1" x14ac:dyDescent="0.2">
      <c r="A6" s="19" t="s">
        <v>30</v>
      </c>
      <c r="B6" s="11" t="s">
        <v>19</v>
      </c>
      <c r="C6" s="20"/>
      <c r="D6" s="10"/>
      <c r="E6" s="11" t="s">
        <v>19</v>
      </c>
      <c r="F6" s="11" t="s">
        <v>18</v>
      </c>
      <c r="G6" s="11" t="s">
        <v>19</v>
      </c>
      <c r="H6" s="11" t="s">
        <v>18</v>
      </c>
      <c r="I6" s="5">
        <f t="shared" ref="I6:I12" si="0">COUNTIFS(B6:H6,"&lt;&gt;空",B6:H6,"&lt;&gt;休",B6:H6,"&lt;&gt;調",B6:H6,"&lt;&gt;",B6:H6,"&lt;&gt;調整休")</f>
        <v>5</v>
      </c>
      <c r="J6" s="249">
        <f t="shared" ref="J6" si="1">SUM(COUNTIF(B6:H6,"9-11,15-19"))*(6)+(COUNTIF(B6:H6,"9-12,16-19"))*(6)+(COUNTIF(B6:H6,"9-13,17-19"))*(6)+(COUNTIF(B6:H6,"9-19"))*(9)+(COUNTIF(B6:H6,"9-17"))*(7.25)+(COUNTIF(B6:H6,"9-16"))*(6.25)+(COUNTIF(B6:H6,"9-15"))*(5.5)+(COUNTIF(B6:H6,"9-14"))*(4.5)+(COUNTIF(B6:H6,"9-13"))*(4)+(COUNTIF(B6:H6,"9-12"))*(3)+(COUNTIF(B6:H6,"9-11:30"))*(2.5)+(COUNTIF(B6:H6,"13-19"))*(5.5)+(COUNTIF(B6:H6,"14-19"))*(4.5)+(COUNTIF(B6:H6,"15-19"))*(4)+(COUNTIF(B6:H6,"16-19"))*(3)+(COUNTIF(B6:H6,"16:30-19"))*(2.5)+(COUNTIF(B6:H6,"10-14"))*(4)+(COUNTIF(B6:H6,"草加9-14"))*(4.5)+(COUNTIF(B6:H6,"新田9-14"))*(4.5)+(COUNTIF(B6:H6,"新田14-19"))*(4.5)</f>
        <v>22.5</v>
      </c>
      <c r="K6" s="249"/>
    </row>
    <row r="7" spans="1:11" ht="14.4" customHeight="1" x14ac:dyDescent="0.2">
      <c r="A7" s="19" t="s">
        <v>17</v>
      </c>
      <c r="B7" s="11" t="s">
        <v>18</v>
      </c>
      <c r="C7" s="20"/>
      <c r="D7" s="10"/>
      <c r="E7" s="82" t="s">
        <v>150</v>
      </c>
      <c r="F7" s="11"/>
      <c r="G7" s="11" t="s">
        <v>18</v>
      </c>
      <c r="H7" s="11" t="s">
        <v>19</v>
      </c>
      <c r="I7" s="5">
        <f t="shared" si="0"/>
        <v>4</v>
      </c>
      <c r="J7" s="249">
        <f>SUM(COUNTIF(B7:H7,"9-11,15-19"))*(6)+(COUNTIF(B7:H7,"9-12,16-19"))*(6)+(COUNTIF(B7:H7,"9-13,17-19"))*(6)+(COUNTIF(B7:H7,"9-19"))*(9)+(COUNTIF(B7:H7,"9-17"))*(7.25)+(COUNTIF(B7:H7,"9-16"))*(6.25)+(COUNTIF(B7:H7,"9-15"))*(5.5)+(COUNTIF(B7:H7,"9-14"))*(4.5)+(COUNTIF(B7:H7,"9-13"))*(4)+(COUNTIF(B7:H7,"9-12"))*(3)+(COUNTIF(B7:H7,"9-11:30"))*(2.5)+(COUNTIF(B7:H7,"13-19"))*(5.5)+(COUNTIF(B7:H7,"14-19"))*(4.5)+(COUNTIF(B7:H7,"15-19"))*(4)+(COUNTIF(B7:H7,"16-19"))*(3)+(COUNTIF(B7:H7,"16:30-19"))*(2.5)+(COUNTIF(B7:H7,"10-14"))*(4)+(COUNTIF(B7:H7,"草加9-14"))*(4.5)+(COUNTIF(B7:H7,"新田9-14"))*(4.5)+(COUNTIF(B7:H7,"新田14-19"))*(4.5)+(COUNTIF(B7:H7,"受付9-/事務"))*(4.5)</f>
        <v>18</v>
      </c>
      <c r="K7" s="249"/>
    </row>
    <row r="8" spans="1:11" ht="14.4" customHeight="1" x14ac:dyDescent="0.2">
      <c r="A8" s="19" t="s">
        <v>52</v>
      </c>
      <c r="B8" s="52"/>
      <c r="C8" s="20"/>
      <c r="D8" s="28"/>
      <c r="E8" s="63" t="s">
        <v>62</v>
      </c>
      <c r="F8" s="52"/>
      <c r="G8" s="11" t="s">
        <v>19</v>
      </c>
      <c r="H8" s="11"/>
      <c r="I8" s="5">
        <f t="shared" si="0"/>
        <v>2</v>
      </c>
      <c r="J8" s="249">
        <f>SUM(COUNTIF(B8:H8,"9-11,15-19"))*(6)+(COUNTIF(B8:H8,"9-12,16-19"))*(6)+(COUNTIF(B8:H8,"9-13,17-19"))*(6)+(COUNTIF(B8:H8,"9-19"))*(9)+(COUNTIF(B8:H8,"9-17"))*(7.25)+(COUNTIF(B8:H8,"9-16"))*(6.25)+(COUNTIF(B8:H8,"9-15"))*(5.5)+(COUNTIF(B8:H8,"9-14"))*(4.5)+(COUNTIF(B8:H8,"9-13"))*(4)+(COUNTIF(B8:H8,"9-12"))*(3)+(COUNTIF(B8:H8,"9-11:30"))*(2.5)+(COUNTIF(B8:H8,"13-19"))*(5.5)+(COUNTIF(B8:H8,"14-19"))*(4.5)+(COUNTIF(B8:H8,"15-19"))*(4)+(COUNTIF(B8:H8,"16-19"))*(3)+(COUNTIF(B8:H8,"16:30-19"))*(2.5)+(COUNTIF(B8:H8,"10-14"))*(4)+(COUNTIF(B8:H8,"草加9-14"))*(4.5)+(COUNTIF(B8:H8,"新田9-14"))*(4.5)+(COUNTIF(B8:H8,"新田14-19"))*(4.5)</f>
        <v>9</v>
      </c>
      <c r="K8" s="249"/>
    </row>
    <row r="9" spans="1:11" ht="14.4" customHeight="1" x14ac:dyDescent="0.2">
      <c r="A9" s="19" t="s">
        <v>119</v>
      </c>
      <c r="B9" s="11" t="s">
        <v>19</v>
      </c>
      <c r="C9" s="28"/>
      <c r="D9" s="28"/>
      <c r="E9" s="57"/>
      <c r="F9" s="52"/>
      <c r="G9" s="11"/>
      <c r="H9" s="52"/>
      <c r="I9" s="5">
        <f t="shared" si="0"/>
        <v>1</v>
      </c>
      <c r="J9" s="249">
        <f>SUM(COUNTIF(B9:H9,"9-11,15-19"))*(6)+(COUNTIF(B9:H9,"9-12,16-19"))*(6)+(COUNTIF(B9:H9,"9-13,17-19"))*(6)+(COUNTIF(B9:H9,"9-19"))*(9)+(COUNTIF(B9:H9,"9-17"))*(7.25)+(COUNTIF(B9:H9,"9-16"))*(6.25)+(COUNTIF(B9:H9,"9-15"))*(5.5)+(COUNTIF(B9:H9,"9-14"))*(4.5)+(COUNTIF(B9:H9,"9-13"))*(4)+(COUNTIF(B9:H9,"9-12"))*(3)+(COUNTIF(B9:H9,"9-11:30"))*(2.5)+(COUNTIF(B9:H9,"13-19"))*(5.5)+(COUNTIF(B9:H9,"14-19"))*(4.5)+(COUNTIF(B9:H9,"15-19"))*(4)+(COUNTIF(B9:H9,"16-19"))*(3)+(COUNTIF(B9:H9,"16:30-19"))*(2.5)+(COUNTIF(B9:H9,"10-14"))*(4)+(COUNTIF(B9:H9,"草加9-14"))*(4.5)+(COUNTIF(B9:H9,"新田9-14"))*(4.5)+(COUNTIF(B9:H9,"新田14-19"))*(4.5)</f>
        <v>4.5</v>
      </c>
      <c r="K9" s="249"/>
    </row>
    <row r="10" spans="1:11" ht="14.4" customHeight="1" x14ac:dyDescent="0.2">
      <c r="A10" s="19" t="s">
        <v>125</v>
      </c>
      <c r="B10" s="11"/>
      <c r="C10" s="28"/>
      <c r="D10" s="28"/>
      <c r="E10" s="11" t="s">
        <v>18</v>
      </c>
      <c r="F10" s="11"/>
      <c r="G10" s="11" t="s">
        <v>18</v>
      </c>
      <c r="H10" s="11" t="s">
        <v>18</v>
      </c>
      <c r="I10" s="5">
        <f t="shared" si="0"/>
        <v>3</v>
      </c>
      <c r="J10" s="249">
        <f>SUM(COUNTIF(B10:H10,"9-11,15-19"))*(6)+(COUNTIF(B10:H10,"9-12,16-19"))*(6)+(COUNTIF(B10:H10,"9-13,17-19"))*(6)+(COUNTIF(B10:H10,"9-19"))*(9)+(COUNTIF(B10:H10,"9-17"))*(7.25)+(COUNTIF(B10:H10,"9-16"))*(6.25)+(COUNTIF(B10:H10,"9-15"))*(5.5)+(COUNTIF(B10:H10,"9-14"))*(4.5)+(COUNTIF(B10:H10,"9-13"))*(4)+(COUNTIF(B10:H10,"9-12"))*(3)+(COUNTIF(B10:H10,"9-11:30"))*(2.5)+(COUNTIF(B10:H10,"13-19"))*(5.5)+(COUNTIF(B10:H10,"14-19"))*(4.5)+(COUNTIF(B10:H10,"15-19"))*(4)+(COUNTIF(B10:H10,"16-19"))*(3)+(COUNTIF(B10:H10,"16:30-19"))*(2.5)+(COUNTIF(B10:H10,"10-14"))*(4)+(COUNTIF(B10:H10,"草加9-14"))*(4.5)+(COUNTIF(B10:H10,"新田9-14"))*(4.5)+(COUNTIF(B10:H10,"新田14-19"))*(4.5)</f>
        <v>13.5</v>
      </c>
      <c r="K10" s="249"/>
    </row>
    <row r="11" spans="1:11" ht="14.4" customHeight="1" x14ac:dyDescent="0.2">
      <c r="A11" s="19" t="s">
        <v>31</v>
      </c>
      <c r="B11" s="11" t="s">
        <v>18</v>
      </c>
      <c r="C11" s="10"/>
      <c r="D11" s="10"/>
      <c r="E11" s="11"/>
      <c r="F11" s="11" t="s">
        <v>19</v>
      </c>
      <c r="G11" s="71" t="s">
        <v>47</v>
      </c>
      <c r="H11" s="71" t="s">
        <v>47</v>
      </c>
      <c r="I11" s="5">
        <f t="shared" si="0"/>
        <v>4</v>
      </c>
      <c r="J11" s="249">
        <f>SUM(COUNTIF(B11:H11,"9-11,15-19"))*(6)+(COUNTIF(B11:H11,"9-12,16-19"))*(6)+(COUNTIF(B11:H11,"9-13,17-19"))*(6)+(COUNTIF(B11:H11,"9-19"))*(9)+(COUNTIF(B11:H11,"9-17"))*(7.25)+(COUNTIF(B11:H11,"9-16"))*(6.25)+(COUNTIF(B11:H11,"9-15"))*(5.5)+(COUNTIF(B11:H11,"9-14"))*(4.5)+(COUNTIF(B11:H11,"9-13"))*(4)+(COUNTIF(B11:H11,"9-12"))*(3)+(COUNTIF(B11:H11,"9-11:30"))*(2.5)+(COUNTIF(B11:H11,"13-19"))*(5.5)+(COUNTIF(B11:H11,"14-19"))*(4.5)+(COUNTIF(B11:H11,"15-19"))*(4)+(COUNTIF(B11:H11,"16-19"))*(3)+(COUNTIF(B11:H11,"16:30-19"))*(2.5)+(COUNTIF(B11:H11,"10-14"))*(4)+(COUNTIF(B11:H11,"草加9-14"))*(4.5)+(COUNTIF(B11:H11,"新田9-14"))*(4.5)+(COUNTIF(B11:H11,"新田14-19"))*(4.5)</f>
        <v>18</v>
      </c>
      <c r="K11" s="249"/>
    </row>
    <row r="12" spans="1:11" ht="14.4" customHeight="1" x14ac:dyDescent="0.2">
      <c r="A12" s="19" t="s">
        <v>168</v>
      </c>
      <c r="B12" s="11"/>
      <c r="C12" s="10"/>
      <c r="D12" s="10"/>
      <c r="E12" s="11"/>
      <c r="F12" s="11"/>
      <c r="G12" s="11"/>
      <c r="H12" s="195"/>
      <c r="I12" s="5">
        <f t="shared" si="0"/>
        <v>0</v>
      </c>
      <c r="J12" s="249">
        <f>SUM(COUNTIF(B12:H12,"9-11,15-19"))*(6)+(COUNTIF(B12:H12,"9-12,16-19"))*(6)+(COUNTIF(B12:H12,"9-13,17-19"))*(6)+(COUNTIF(B12:H12,"9-19"))*(9)+(COUNTIF(B12:H12,"9-17"))*(7.25)+(COUNTIF(B12:H12,"9-16"))*(6.25)+(COUNTIF(B12:H12,"9-15"))*(5.5)+(COUNTIF(B12:H12,"9-14"))*(4.5)+(COUNTIF(B12:H12,"9-13"))*(4)+(COUNTIF(B12:H12,"9-12"))*(3)+(COUNTIF(B12:H12,"9-11:30"))*(2.5)+(COUNTIF(B12:H12,"13-19"))*(5.5)+(COUNTIF(B12:H12,"14-19"))*(4.5)+(COUNTIF(B12:H12,"15-19"))*(4)+(COUNTIF(B12:H12,"16-19"))*(3)+(COUNTIF(B12:H12,"16:30-19"))*(2.5)+(COUNTIF(B12:H12,"10-14"))*(4)+(COUNTIF(B12:H12,"草加9-14"))*(4.5)+(COUNTIF(B12:H12,"新田9-14"))*(4.5)+(COUNTIF(B12:H12,"新田14-19"))*(4.5)</f>
        <v>0</v>
      </c>
      <c r="K12" s="249"/>
    </row>
    <row r="13" spans="1:11" ht="14.4" customHeight="1" x14ac:dyDescent="0.2">
      <c r="A13" s="175" t="s">
        <v>53</v>
      </c>
      <c r="B13" s="11"/>
      <c r="C13" s="10"/>
      <c r="D13" s="10"/>
      <c r="E13" s="11"/>
      <c r="F13" s="11"/>
      <c r="G13" s="11"/>
      <c r="H13" s="215" t="s">
        <v>117</v>
      </c>
      <c r="I13" s="5"/>
      <c r="J13" s="249"/>
      <c r="K13" s="249"/>
    </row>
    <row r="14" spans="1:11" ht="14.4" customHeight="1" x14ac:dyDescent="0.2">
      <c r="A14" s="29" t="s">
        <v>0</v>
      </c>
      <c r="B14" s="46">
        <v>46181</v>
      </c>
      <c r="C14" s="46">
        <v>46182</v>
      </c>
      <c r="D14" s="46">
        <v>46183</v>
      </c>
      <c r="E14" s="46">
        <v>46184</v>
      </c>
      <c r="F14" s="46">
        <v>46185</v>
      </c>
      <c r="G14" s="46">
        <v>46186</v>
      </c>
      <c r="H14" s="46">
        <v>46187</v>
      </c>
      <c r="I14" s="384" t="s">
        <v>1</v>
      </c>
      <c r="J14" s="386" t="s">
        <v>2</v>
      </c>
      <c r="K14" s="386"/>
    </row>
    <row r="15" spans="1:11" ht="14.4" customHeight="1" x14ac:dyDescent="0.2">
      <c r="A15" s="21" t="s">
        <v>3</v>
      </c>
      <c r="B15" s="2" t="s">
        <v>4</v>
      </c>
      <c r="C15" s="20" t="s">
        <v>5</v>
      </c>
      <c r="D15" s="20" t="s">
        <v>6</v>
      </c>
      <c r="E15" s="2" t="s">
        <v>7</v>
      </c>
      <c r="F15" s="2" t="s">
        <v>8</v>
      </c>
      <c r="G15" s="2" t="s">
        <v>9</v>
      </c>
      <c r="H15" s="23" t="s">
        <v>10</v>
      </c>
      <c r="I15" s="385"/>
      <c r="J15" s="386"/>
      <c r="K15" s="386"/>
    </row>
    <row r="16" spans="1:11" ht="14.4" customHeight="1" x14ac:dyDescent="0.2">
      <c r="A16" s="86" t="s">
        <v>12</v>
      </c>
      <c r="B16" s="11"/>
      <c r="C16" s="20"/>
      <c r="D16" s="20"/>
      <c r="E16" s="11"/>
      <c r="F16" s="11"/>
      <c r="G16" s="11"/>
      <c r="H16" s="11"/>
      <c r="I16" s="5"/>
      <c r="J16" s="249"/>
      <c r="K16" s="250"/>
    </row>
    <row r="17" spans="1:11" ht="14.4" customHeight="1" x14ac:dyDescent="0.2">
      <c r="A17" s="19" t="s">
        <v>30</v>
      </c>
      <c r="B17" s="11" t="s">
        <v>19</v>
      </c>
      <c r="C17" s="20"/>
      <c r="D17" s="10"/>
      <c r="E17" s="11" t="s">
        <v>19</v>
      </c>
      <c r="F17" s="11" t="s">
        <v>24</v>
      </c>
      <c r="G17" s="11" t="s">
        <v>19</v>
      </c>
      <c r="H17" s="11"/>
      <c r="I17" s="5">
        <f t="shared" ref="I17:I23" si="2">COUNTIFS(B17:H17,"&lt;&gt;空",B17:H17,"&lt;&gt;休",B17:H17,"&lt;&gt;調",B17:H17,"&lt;&gt;",B17:H17,"&lt;&gt;調整休")</f>
        <v>4</v>
      </c>
      <c r="J17" s="249">
        <f t="shared" ref="J17" si="3">SUM(COUNTIF(B17:H17,"9-11,15-19"))*(6)+(COUNTIF(B17:H17,"9-12,16-19"))*(6)+(COUNTIF(B17:H17,"9-13,17-19"))*(6)+(COUNTIF(B17:H17,"9-19"))*(9)+(COUNTIF(B17:H17,"9-17"))*(7.25)+(COUNTIF(B17:H17,"9-16"))*(6.25)+(COUNTIF(B17:H17,"9-15"))*(5.5)+(COUNTIF(B17:H17,"9-14"))*(4.5)+(COUNTIF(B17:H17,"9-13"))*(4)+(COUNTIF(B17:H17,"9-12"))*(3)+(COUNTIF(B17:H17,"9-11:30"))*(2.5)+(COUNTIF(B17:H17,"13-19"))*(5.5)+(COUNTIF(B17:H17,"14-19"))*(4.5)+(COUNTIF(B17:H17,"15-19"))*(4)+(COUNTIF(B17:H17,"16-19"))*(3)+(COUNTIF(B17:H17,"16:30-19"))*(2.5)+(COUNTIF(B17:H17,"10-14"))*(4)+(COUNTIF(B17:H17,"草加9-14"))*(4.5)+(COUNTIF(B17:H17,"新田9-14"))*(4.5)+(COUNTIF(B17:H17,"新田14-19"))*(4.5)</f>
        <v>17.5</v>
      </c>
      <c r="K17" s="249"/>
    </row>
    <row r="18" spans="1:11" ht="14.4" customHeight="1" x14ac:dyDescent="0.2">
      <c r="A18" s="19" t="s">
        <v>17</v>
      </c>
      <c r="B18" s="52"/>
      <c r="C18" s="20"/>
      <c r="D18" s="10"/>
      <c r="E18" s="82" t="s">
        <v>150</v>
      </c>
      <c r="F18" s="11"/>
      <c r="G18" s="11" t="s">
        <v>18</v>
      </c>
      <c r="H18" s="11" t="s">
        <v>19</v>
      </c>
      <c r="I18" s="5">
        <f t="shared" si="2"/>
        <v>3</v>
      </c>
      <c r="J18" s="249">
        <f>SUM(COUNTIF(B18:H18,"9-11,15-19"))*(6)+(COUNTIF(B18:H18,"9-12,16-19"))*(6)+(COUNTIF(B18:H18,"9-13,17-19"))*(6)+(COUNTIF(B18:H18,"9-19"))*(9)+(COUNTIF(B18:H18,"9-17"))*(7.25)+(COUNTIF(B18:H18,"9-16"))*(6.25)+(COUNTIF(B18:H18,"9-15"))*(5.5)+(COUNTIF(B18:H18,"9-14"))*(4.5)+(COUNTIF(B18:H18,"9-13"))*(4)+(COUNTIF(B18:H18,"9-12"))*(3)+(COUNTIF(B18:H18,"9-11:30"))*(2.5)+(COUNTIF(B18:H18,"13-19"))*(5.5)+(COUNTIF(B18:H18,"14-19"))*(4.5)+(COUNTIF(B18:H18,"15-19"))*(4)+(COUNTIF(B18:H18,"16-19"))*(3)+(COUNTIF(B18:H18,"16:30-19"))*(2.5)+(COUNTIF(B18:H18,"10-14"))*(4)+(COUNTIF(B18:H18,"草加9-14"))*(4.5)+(COUNTIF(B18:H18,"新田9-14"))*(4.5)+(COUNTIF(B18:H18,"新田14-19"))*(4.5)+(COUNTIF(B18:H18,"受付9-/事務"))*(4.5)</f>
        <v>13.5</v>
      </c>
      <c r="K18" s="249"/>
    </row>
    <row r="19" spans="1:11" ht="14.4" customHeight="1" x14ac:dyDescent="0.2">
      <c r="A19" s="19" t="s">
        <v>52</v>
      </c>
      <c r="B19" s="11" t="s">
        <v>18</v>
      </c>
      <c r="C19" s="20"/>
      <c r="D19" s="28"/>
      <c r="E19" s="63" t="s">
        <v>62</v>
      </c>
      <c r="F19" s="11" t="s">
        <v>18</v>
      </c>
      <c r="G19" s="11" t="s">
        <v>19</v>
      </c>
      <c r="H19" s="11"/>
      <c r="I19" s="5">
        <f t="shared" si="2"/>
        <v>4</v>
      </c>
      <c r="J19" s="249">
        <f>SUM(COUNTIF(B19:H19,"9-11,15-19"))*(6)+(COUNTIF(B19:H19,"9-12,16-19"))*(6)+(COUNTIF(B19:H19,"9-13,17-19"))*(6)+(COUNTIF(B19:H19,"9-19"))*(9)+(COUNTIF(B19:H19,"9-17"))*(7.25)+(COUNTIF(B19:H19,"9-16"))*(6.25)+(COUNTIF(B19:H19,"9-15"))*(5.5)+(COUNTIF(B19:H19,"9-14"))*(4.5)+(COUNTIF(B19:H19,"9-13"))*(4)+(COUNTIF(B19:H19,"9-12"))*(3)+(COUNTIF(B19:H19,"9-11:30"))*(2.5)+(COUNTIF(B19:H19,"13-19"))*(5.5)+(COUNTIF(B19:H19,"14-19"))*(4.5)+(COUNTIF(B19:H19,"15-19"))*(4)+(COUNTIF(B19:H19,"16-19"))*(3)+(COUNTIF(B19:H19,"16:30-19"))*(2.5)+(COUNTIF(B19:H19,"10-14"))*(4)+(COUNTIF(B19:H19,"草加9-14"))*(4.5)+(COUNTIF(B19:H19,"新田9-14"))*(4.5)+(COUNTIF(B19:H19,"新田14-19"))*(4.5)</f>
        <v>18</v>
      </c>
      <c r="K19" s="249"/>
    </row>
    <row r="20" spans="1:11" ht="14.4" customHeight="1" x14ac:dyDescent="0.2">
      <c r="A20" s="19" t="s">
        <v>119</v>
      </c>
      <c r="B20" s="52"/>
      <c r="C20" s="28"/>
      <c r="D20" s="28"/>
      <c r="E20" s="11" t="s">
        <v>19</v>
      </c>
      <c r="F20" s="11" t="s">
        <v>19</v>
      </c>
      <c r="G20" s="11"/>
      <c r="H20" s="52"/>
      <c r="I20" s="5">
        <f t="shared" si="2"/>
        <v>2</v>
      </c>
      <c r="J20" s="249">
        <f>SUM(COUNTIF(B20:H20,"9-11,15-19"))*(6)+(COUNTIF(B20:H20,"9-12,16-19"))*(6)+(COUNTIF(B20:H20,"9-13,17-19"))*(6)+(COUNTIF(B20:H20,"9-19"))*(9)+(COUNTIF(B20:H20,"9-17"))*(7.25)+(COUNTIF(B20:H20,"9-16"))*(6.25)+(COUNTIF(B20:H20,"9-15"))*(5.5)+(COUNTIF(B20:H20,"9-14"))*(4.5)+(COUNTIF(B20:H20,"9-13"))*(4)+(COUNTIF(B20:H20,"9-12"))*(3)+(COUNTIF(B20:H20,"9-11:30"))*(2.5)+(COUNTIF(B20:H20,"13-19"))*(5.5)+(COUNTIF(B20:H20,"14-19"))*(4.5)+(COUNTIF(B20:H20,"15-19"))*(4)+(COUNTIF(B20:H20,"16-19"))*(3)+(COUNTIF(B20:H20,"16:30-19"))*(2.5)+(COUNTIF(B20:H20,"10-14"))*(4)+(COUNTIF(B20:H20,"草加9-14"))*(4.5)+(COUNTIF(B20:H20,"新田9-14"))*(4.5)+(COUNTIF(B20:H20,"新田14-19"))*(4.5)</f>
        <v>9</v>
      </c>
      <c r="K20" s="249"/>
    </row>
    <row r="21" spans="1:11" ht="14.4" customHeight="1" x14ac:dyDescent="0.2">
      <c r="A21" s="19" t="s">
        <v>125</v>
      </c>
      <c r="B21" s="11"/>
      <c r="C21" s="28"/>
      <c r="D21" s="28"/>
      <c r="E21" s="11" t="s">
        <v>18</v>
      </c>
      <c r="F21" s="11"/>
      <c r="G21" s="11" t="s">
        <v>18</v>
      </c>
      <c r="H21" s="11" t="s">
        <v>18</v>
      </c>
      <c r="I21" s="5">
        <f t="shared" si="2"/>
        <v>3</v>
      </c>
      <c r="J21" s="249">
        <f>SUM(COUNTIF(B21:H21,"9-11,15-19"))*(6)+(COUNTIF(B21:H21,"9-12,16-19"))*(6)+(COUNTIF(B21:H21,"9-13,17-19"))*(6)+(COUNTIF(B21:H21,"9-19"))*(9)+(COUNTIF(B21:H21,"9-17"))*(7.25)+(COUNTIF(B21:H21,"9-16"))*(6.25)+(COUNTIF(B21:H21,"9-15"))*(5.5)+(COUNTIF(B21:H21,"9-14"))*(4.5)+(COUNTIF(B21:H21,"9-13"))*(4)+(COUNTIF(B21:H21,"9-12"))*(3)+(COUNTIF(B21:H21,"9-11:30"))*(2.5)+(COUNTIF(B21:H21,"13-19"))*(5.5)+(COUNTIF(B21:H21,"14-19"))*(4.5)+(COUNTIF(B21:H21,"15-19"))*(4)+(COUNTIF(B21:H21,"16-19"))*(3)+(COUNTIF(B21:H21,"16:30-19"))*(2.5)+(COUNTIF(B21:H21,"10-14"))*(4)+(COUNTIF(B21:H21,"草加9-14"))*(4.5)+(COUNTIF(B21:H21,"新田9-14"))*(4.5)+(COUNTIF(B21:H21,"新田14-19"))*(4.5)</f>
        <v>13.5</v>
      </c>
      <c r="K21" s="249"/>
    </row>
    <row r="22" spans="1:11" ht="14.4" customHeight="1" x14ac:dyDescent="0.2">
      <c r="A22" s="19" t="s">
        <v>31</v>
      </c>
      <c r="B22" s="11" t="s">
        <v>19</v>
      </c>
      <c r="C22" s="10"/>
      <c r="D22" s="10"/>
      <c r="E22" s="11"/>
      <c r="F22" s="11" t="s">
        <v>19</v>
      </c>
      <c r="G22" s="71" t="s">
        <v>48</v>
      </c>
      <c r="H22" s="71" t="s">
        <v>47</v>
      </c>
      <c r="I22" s="5">
        <f t="shared" si="2"/>
        <v>4</v>
      </c>
      <c r="J22" s="249">
        <f>SUM(COUNTIF(B22:H22,"9-11,15-19"))*(6)+(COUNTIF(B22:H22,"9-12,16-19"))*(6)+(COUNTIF(B22:H22,"9-13,17-19"))*(6)+(COUNTIF(B22:H22,"9-19"))*(9)+(COUNTIF(B22:H22,"9-17"))*(7.25)+(COUNTIF(B22:H22,"9-16"))*(6.25)+(COUNTIF(B22:H22,"9-15"))*(5.5)+(COUNTIF(B22:H22,"9-14"))*(4.5)+(COUNTIF(B22:H22,"9-13"))*(4)+(COUNTIF(B22:H22,"9-12"))*(3)+(COUNTIF(B22:H22,"9-11:30"))*(2.5)+(COUNTIF(B22:H22,"13-19"))*(5.5)+(COUNTIF(B22:H22,"14-19"))*(4.5)+(COUNTIF(B22:H22,"15-19"))*(4)+(COUNTIF(B22:H22,"16-19"))*(3)+(COUNTIF(B22:H22,"16:30-19"))*(2.5)+(COUNTIF(B22:H22,"10-14"))*(4)+(COUNTIF(B22:H22,"草加9-14"))*(4.5)+(COUNTIF(B22:H22,"新田9-14"))*(4.5)+(COUNTIF(B22:H22,"新田14-19"))*(4.5)</f>
        <v>18</v>
      </c>
      <c r="K22" s="249"/>
    </row>
    <row r="23" spans="1:11" ht="14.4" customHeight="1" x14ac:dyDescent="0.2">
      <c r="A23" s="175" t="s">
        <v>53</v>
      </c>
      <c r="B23" s="11"/>
      <c r="C23" s="10"/>
      <c r="D23" s="10"/>
      <c r="E23" s="11"/>
      <c r="F23" s="11"/>
      <c r="G23" s="11"/>
      <c r="H23" s="215" t="s">
        <v>128</v>
      </c>
      <c r="I23" s="5">
        <f t="shared" si="2"/>
        <v>1</v>
      </c>
      <c r="J23" s="249">
        <f>SUM(COUNTIF(B23:H23,"9-11,15-19"))*(6)+(COUNTIF(B23:H23,"9-12,16-19"))*(6)+(COUNTIF(B23:H23,"9-13,17-19"))*(6)+(COUNTIF(B23:H23,"9-19"))*(9)+(COUNTIF(B23:H23,"9-17"))*(7.25)+(COUNTIF(B23:H23,"9-16"))*(6.25)+(COUNTIF(B23:H23,"9-15"))*(5.5)+(COUNTIF(B23:H23,"9-14"))*(4.5)+(COUNTIF(B23:H23,"9-13"))*(4)+(COUNTIF(B23:H23,"9-12"))*(3)+(COUNTIF(B23:H23,"9-11:30"))*(2.5)+(COUNTIF(B23:H23,"13-19"))*(5.5)+(COUNTIF(B23:H23,"14-19"))*(4.5)+(COUNTIF(B23:H23,"15-19"))*(4)+(COUNTIF(B23:H23,"16-19"))*(3)+(COUNTIF(B23:H23,"16:30-19"))*(2.5)+(COUNTIF(B23:H23,"10-14"))*(4)+(COUNTIF(B23:H23,"草加9-14"))*(4.5)+(COUNTIF(B23:H23,"新田9-14"))*(4.5)+(COUNTIF(B23:H23,"新田14-19"))*(4.5)</f>
        <v>0</v>
      </c>
      <c r="K23" s="249"/>
    </row>
    <row r="24" spans="1:11" ht="14.4" customHeight="1" x14ac:dyDescent="0.2">
      <c r="A24" s="175"/>
      <c r="B24" s="11"/>
      <c r="C24" s="10"/>
      <c r="D24" s="10"/>
      <c r="E24" s="11"/>
      <c r="F24" s="11"/>
      <c r="G24" s="11"/>
      <c r="H24" s="215" t="s">
        <v>182</v>
      </c>
      <c r="I24" s="5"/>
      <c r="J24" s="249"/>
      <c r="K24" s="249"/>
    </row>
    <row r="25" spans="1:11" ht="14.4" customHeight="1" x14ac:dyDescent="0.2">
      <c r="A25" s="21" t="s">
        <v>0</v>
      </c>
      <c r="B25" s="22">
        <v>46188</v>
      </c>
      <c r="C25" s="22">
        <v>46189</v>
      </c>
      <c r="D25" s="22">
        <v>46190</v>
      </c>
      <c r="E25" s="22">
        <v>46191</v>
      </c>
      <c r="F25" s="22">
        <v>46192</v>
      </c>
      <c r="G25" s="22">
        <v>46193</v>
      </c>
      <c r="H25" s="22">
        <v>46194</v>
      </c>
      <c r="I25" s="384" t="s">
        <v>1</v>
      </c>
      <c r="J25" s="386" t="s">
        <v>2</v>
      </c>
      <c r="K25" s="386"/>
    </row>
    <row r="26" spans="1:11" ht="14.4" customHeight="1" x14ac:dyDescent="0.2">
      <c r="A26" s="21" t="s">
        <v>3</v>
      </c>
      <c r="B26" s="2" t="s">
        <v>4</v>
      </c>
      <c r="C26" s="20" t="s">
        <v>5</v>
      </c>
      <c r="D26" s="20" t="s">
        <v>6</v>
      </c>
      <c r="E26" s="2" t="s">
        <v>7</v>
      </c>
      <c r="F26" s="2" t="s">
        <v>8</v>
      </c>
      <c r="G26" s="2" t="s">
        <v>9</v>
      </c>
      <c r="H26" s="23" t="s">
        <v>10</v>
      </c>
      <c r="I26" s="385"/>
      <c r="J26" s="386"/>
      <c r="K26" s="386"/>
    </row>
    <row r="27" spans="1:11" ht="14.4" customHeight="1" x14ac:dyDescent="0.2">
      <c r="A27" s="86" t="s">
        <v>11</v>
      </c>
      <c r="B27" s="11"/>
      <c r="C27" s="20"/>
      <c r="D27" s="20"/>
      <c r="E27" s="11"/>
      <c r="F27" s="11"/>
      <c r="G27" s="11"/>
      <c r="H27" s="11"/>
      <c r="I27" s="5"/>
      <c r="J27" s="323"/>
      <c r="K27" s="250"/>
    </row>
    <row r="28" spans="1:11" ht="14.4" customHeight="1" x14ac:dyDescent="0.2">
      <c r="A28" s="19" t="s">
        <v>30</v>
      </c>
      <c r="B28" s="11" t="s">
        <v>19</v>
      </c>
      <c r="C28" s="20"/>
      <c r="D28" s="10"/>
      <c r="E28" s="11" t="s">
        <v>19</v>
      </c>
      <c r="F28" s="11" t="s">
        <v>24</v>
      </c>
      <c r="G28" s="246" t="s">
        <v>179</v>
      </c>
      <c r="H28" s="11" t="s">
        <v>18</v>
      </c>
      <c r="I28" s="5">
        <f t="shared" ref="I28:I34" si="4">COUNTIFS(B28:H28,"&lt;&gt;空",B28:H28,"&lt;&gt;休",B28:H28,"&lt;&gt;調",B28:H28,"&lt;&gt;",B28:H28,"&lt;&gt;調整休")</f>
        <v>5</v>
      </c>
      <c r="J28" s="249">
        <f t="shared" ref="J28" si="5">SUM(COUNTIF(B28:H28,"9-11,15-19"))*(6)+(COUNTIF(B28:H28,"9-12,16-19"))*(6)+(COUNTIF(B28:H28,"9-13,17-19"))*(6)+(COUNTIF(B28:H28,"9-19"))*(9)+(COUNTIF(B28:H28,"9-17"))*(7.25)+(COUNTIF(B28:H28,"9-16"))*(6.25)+(COUNTIF(B28:H28,"9-15"))*(5.5)+(COUNTIF(B28:H28,"9-14"))*(4.5)+(COUNTIF(B28:H28,"9-13"))*(4)+(COUNTIF(B28:H28,"9-12"))*(3)+(COUNTIF(B28:H28,"9-11:30"))*(2.5)+(COUNTIF(B28:H28,"13-19"))*(5.5)+(COUNTIF(B28:H28,"14-19"))*(4.5)+(COUNTIF(B28:H28,"15-19"))*(4)+(COUNTIF(B28:H28,"16-19"))*(3)+(COUNTIF(B28:H28,"16:30-19"))*(2.5)+(COUNTIF(B28:H28,"10-14"))*(4)+(COUNTIF(B28:H28,"草加9-14"))*(4.5)+(COUNTIF(B28:H28,"新田9-14"))*(4.5)+(COUNTIF(B28:H28,"新田14-19"))*(4.5)</f>
        <v>17.5</v>
      </c>
      <c r="K28" s="249"/>
    </row>
    <row r="29" spans="1:11" ht="14.4" customHeight="1" x14ac:dyDescent="0.2">
      <c r="A29" s="19" t="s">
        <v>17</v>
      </c>
      <c r="B29" s="11"/>
      <c r="C29" s="20"/>
      <c r="D29" s="10"/>
      <c r="E29" s="82" t="s">
        <v>150</v>
      </c>
      <c r="F29" s="11"/>
      <c r="G29" s="71" t="s">
        <v>48</v>
      </c>
      <c r="H29" s="11" t="s">
        <v>19</v>
      </c>
      <c r="I29" s="5">
        <f t="shared" si="4"/>
        <v>3</v>
      </c>
      <c r="J29" s="249">
        <f>SUM(COUNTIF(B29:H29,"9-11,15-19"))*(6)+(COUNTIF(B29:H29,"9-12,16-19"))*(6)+(COUNTIF(B29:H29,"9-13,17-19"))*(6)+(COUNTIF(B29:H29,"9-19"))*(9)+(COUNTIF(B29:H29,"9-17"))*(7.25)+(COUNTIF(B29:H29,"9-16"))*(6.25)+(COUNTIF(B29:H29,"9-15"))*(5.5)+(COUNTIF(B29:H29,"9-14"))*(4.5)+(COUNTIF(B29:H29,"9-13"))*(4)+(COUNTIF(B29:H29,"9-12"))*(3)+(COUNTIF(B29:H29,"9-11:30"))*(2.5)+(COUNTIF(B29:H29,"13-19"))*(5.5)+(COUNTIF(B29:H29,"14-19"))*(4.5)+(COUNTIF(B29:H29,"15-19"))*(4)+(COUNTIF(B29:H29,"16-19"))*(3)+(COUNTIF(B29:H29,"16:30-19"))*(2.5)+(COUNTIF(B29:H29,"10-14"))*(4)+(COUNTIF(B29:H29,"草加9-14"))*(4.5)+(COUNTIF(B29:H29,"新田9-14"))*(4.5)+(COUNTIF(B29:H29,"新田14-19"))*(4.5)+(COUNTIF(B29:H29,"受付9-/事務"))*(4.5)</f>
        <v>13.5</v>
      </c>
      <c r="K29" s="249"/>
    </row>
    <row r="30" spans="1:11" ht="14.4" customHeight="1" x14ac:dyDescent="0.2">
      <c r="A30" s="19" t="s">
        <v>52</v>
      </c>
      <c r="B30" s="11" t="s">
        <v>18</v>
      </c>
      <c r="C30" s="20"/>
      <c r="D30" s="28"/>
      <c r="E30" s="63" t="s">
        <v>62</v>
      </c>
      <c r="F30" s="11" t="s">
        <v>18</v>
      </c>
      <c r="G30" s="11" t="s">
        <v>19</v>
      </c>
      <c r="H30" s="11"/>
      <c r="I30" s="5">
        <f t="shared" si="4"/>
        <v>4</v>
      </c>
      <c r="J30" s="249">
        <f>SUM(COUNTIF(B30:H30,"9-11,15-19"))*(6)+(COUNTIF(B30:H30,"9-12,16-19"))*(6)+(COUNTIF(B30:H30,"9-13,17-19"))*(6)+(COUNTIF(B30:H30,"9-19"))*(9)+(COUNTIF(B30:H30,"9-17"))*(7.25)+(COUNTIF(B30:H30,"9-16"))*(6.25)+(COUNTIF(B30:H30,"9-15"))*(5.5)+(COUNTIF(B30:H30,"9-14"))*(4.5)+(COUNTIF(B30:H30,"9-13"))*(4)+(COUNTIF(B30:H30,"9-12"))*(3)+(COUNTIF(B30:H30,"9-11:30"))*(2.5)+(COUNTIF(B30:H30,"13-19"))*(5.5)+(COUNTIF(B30:H30,"14-19"))*(4.5)+(COUNTIF(B30:H30,"15-19"))*(4)+(COUNTIF(B30:H30,"16-19"))*(3)+(COUNTIF(B30:H30,"16:30-19"))*(2.5)+(COUNTIF(B30:H30,"10-14"))*(4)+(COUNTIF(B30:H30,"草加9-14"))*(4.5)+(COUNTIF(B30:H30,"新田9-14"))*(4.5)+(COUNTIF(B30:H30,"新田14-19"))*(4.5)</f>
        <v>18</v>
      </c>
      <c r="K30" s="249"/>
    </row>
    <row r="31" spans="1:11" ht="14.4" customHeight="1" x14ac:dyDescent="0.2">
      <c r="A31" s="19" t="s">
        <v>119</v>
      </c>
      <c r="B31" s="11" t="s">
        <v>19</v>
      </c>
      <c r="C31" s="28"/>
      <c r="D31" s="28"/>
      <c r="E31" s="11" t="s">
        <v>19</v>
      </c>
      <c r="F31" s="11" t="s">
        <v>19</v>
      </c>
      <c r="G31" s="11"/>
      <c r="H31" s="52"/>
      <c r="I31" s="5">
        <f t="shared" si="4"/>
        <v>3</v>
      </c>
      <c r="J31" s="249">
        <f>SUM(COUNTIF(B31:H31,"9-11,15-19"))*(6)+(COUNTIF(B31:H31,"9-12,16-19"))*(6)+(COUNTIF(B31:H31,"9-13,17-19"))*(6)+(COUNTIF(B31:H31,"9-19"))*(9)+(COUNTIF(B31:H31,"9-17"))*(7.25)+(COUNTIF(B31:H31,"9-16"))*(6.25)+(COUNTIF(B31:H31,"9-15"))*(5.5)+(COUNTIF(B31:H31,"9-14"))*(4.5)+(COUNTIF(B31:H31,"9-13"))*(4)+(COUNTIF(B31:H31,"9-12"))*(3)+(COUNTIF(B31:H31,"9-11:30"))*(2.5)+(COUNTIF(B31:H31,"13-19"))*(5.5)+(COUNTIF(B31:H31,"14-19"))*(4.5)+(COUNTIF(B31:H31,"15-19"))*(4)+(COUNTIF(B31:H31,"16-19"))*(3)+(COUNTIF(B31:H31,"16:30-19"))*(2.5)+(COUNTIF(B31:H31,"10-14"))*(4)+(COUNTIF(B31:H31,"草加9-14"))*(4.5)+(COUNTIF(B31:H31,"新田9-14"))*(4.5)+(COUNTIF(B31:H31,"新田14-19"))*(4.5)</f>
        <v>13.5</v>
      </c>
      <c r="K31" s="249"/>
    </row>
    <row r="32" spans="1:11" ht="14.4" customHeight="1" x14ac:dyDescent="0.2">
      <c r="A32" s="19" t="s">
        <v>125</v>
      </c>
      <c r="B32" s="11"/>
      <c r="C32" s="28"/>
      <c r="D32" s="28"/>
      <c r="E32" s="11" t="s">
        <v>18</v>
      </c>
      <c r="F32" s="11"/>
      <c r="G32" s="11" t="s">
        <v>18</v>
      </c>
      <c r="H32" s="11" t="s">
        <v>18</v>
      </c>
      <c r="I32" s="5">
        <f t="shared" si="4"/>
        <v>3</v>
      </c>
      <c r="J32" s="249">
        <f>SUM(COUNTIF(B32:H32,"9-11,15-19"))*(6)+(COUNTIF(B32:H32,"9-12,16-19"))*(6)+(COUNTIF(B32:H32,"9-13,17-19"))*(6)+(COUNTIF(B32:H32,"9-19"))*(9)+(COUNTIF(B32:H32,"9-17"))*(7.25)+(COUNTIF(B32:H32,"9-16"))*(6.25)+(COUNTIF(B32:H32,"9-15"))*(5.5)+(COUNTIF(B32:H32,"9-14"))*(4.5)+(COUNTIF(B32:H32,"9-13"))*(4)+(COUNTIF(B32:H32,"9-12"))*(3)+(COUNTIF(B32:H32,"9-11:30"))*(2.5)+(COUNTIF(B32:H32,"13-19"))*(5.5)+(COUNTIF(B32:H32,"14-19"))*(4.5)+(COUNTIF(B32:H32,"15-19"))*(4)+(COUNTIF(B32:H32,"16-19"))*(3)+(COUNTIF(B32:H32,"16:30-19"))*(2.5)+(COUNTIF(B32:H32,"10-14"))*(4)+(COUNTIF(B32:H32,"草加9-14"))*(4.5)+(COUNTIF(B32:H32,"新田9-14"))*(4.5)+(COUNTIF(B32:H32,"新田14-19"))*(4.5)</f>
        <v>13.5</v>
      </c>
      <c r="K32" s="249"/>
    </row>
    <row r="33" spans="1:11" ht="14.4" customHeight="1" x14ac:dyDescent="0.2">
      <c r="A33" s="19" t="s">
        <v>31</v>
      </c>
      <c r="B33" s="11" t="s">
        <v>18</v>
      </c>
      <c r="C33" s="10"/>
      <c r="D33" s="10"/>
      <c r="E33" s="11"/>
      <c r="F33" s="11" t="s">
        <v>19</v>
      </c>
      <c r="G33" s="71" t="s">
        <v>47</v>
      </c>
      <c r="H33" s="71" t="s">
        <v>47</v>
      </c>
      <c r="I33" s="5">
        <f t="shared" si="4"/>
        <v>4</v>
      </c>
      <c r="J33" s="249">
        <f>SUM(COUNTIF(B33:H33,"9-11,15-19"))*(6)+(COUNTIF(B33:H33,"9-12,16-19"))*(6)+(COUNTIF(B33:H33,"9-13,17-19"))*(6)+(COUNTIF(B33:H33,"9-19"))*(9)+(COUNTIF(B33:H33,"9-17"))*(7.25)+(COUNTIF(B33:H33,"9-16"))*(6.25)+(COUNTIF(B33:H33,"9-15"))*(5.5)+(COUNTIF(B33:H33,"9-14"))*(4.5)+(COUNTIF(B33:H33,"9-13"))*(4)+(COUNTIF(B33:H33,"9-12"))*(3)+(COUNTIF(B33:H33,"9-11:30"))*(2.5)+(COUNTIF(B33:H33,"13-19"))*(5.5)+(COUNTIF(B33:H33,"14-19"))*(4.5)+(COUNTIF(B33:H33,"15-19"))*(4)+(COUNTIF(B33:H33,"16-19"))*(3)+(COUNTIF(B33:H33,"16:30-19"))*(2.5)+(COUNTIF(B33:H33,"10-14"))*(4)+(COUNTIF(B33:H33,"草加9-14"))*(4.5)+(COUNTIF(B33:H33,"新田9-14"))*(4.5)+(COUNTIF(B33:H33,"新田14-19"))*(4.5)</f>
        <v>18</v>
      </c>
      <c r="K33" s="249"/>
    </row>
    <row r="34" spans="1:11" ht="14.4" customHeight="1" x14ac:dyDescent="0.2">
      <c r="A34" s="175" t="s">
        <v>53</v>
      </c>
      <c r="B34" s="11"/>
      <c r="C34" s="10"/>
      <c r="D34" s="10"/>
      <c r="E34" s="11"/>
      <c r="F34" s="11"/>
      <c r="G34" s="11"/>
      <c r="H34" s="195"/>
      <c r="I34" s="5">
        <f t="shared" si="4"/>
        <v>0</v>
      </c>
      <c r="J34" s="249">
        <f>SUM(COUNTIF(B34:H34,"9-11,15-19"))*(6)+(COUNTIF(B34:H34,"9-12,16-19"))*(6)+(COUNTIF(B34:H34,"9-13,17-19"))*(6)+(COUNTIF(B34:H34,"9-19"))*(9)+(COUNTIF(B34:H34,"9-17"))*(7.25)+(COUNTIF(B34:H34,"9-16"))*(6.25)+(COUNTIF(B34:H34,"9-15"))*(5.5)+(COUNTIF(B34:H34,"9-14"))*(4.5)+(COUNTIF(B34:H34,"9-13"))*(4)+(COUNTIF(B34:H34,"9-12"))*(3)+(COUNTIF(B34:H34,"9-11:30"))*(2.5)+(COUNTIF(B34:H34,"13-19"))*(5.5)+(COUNTIF(B34:H34,"14-19"))*(4.5)+(COUNTIF(B34:H34,"15-19"))*(4)+(COUNTIF(B34:H34,"16-19"))*(3)+(COUNTIF(B34:H34,"16:30-19"))*(2.5)+(COUNTIF(B34:H34,"10-14"))*(4)+(COUNTIF(B34:H34,"草加9-14"))*(4.5)+(COUNTIF(B34:H34,"新田9-14"))*(4.5)+(COUNTIF(B34:H34,"新田14-19"))*(4.5)</f>
        <v>0</v>
      </c>
      <c r="K34" s="249"/>
    </row>
    <row r="35" spans="1:11" ht="14.4" customHeight="1" x14ac:dyDescent="0.2">
      <c r="A35" s="175"/>
      <c r="B35" s="11"/>
      <c r="C35" s="10"/>
      <c r="D35" s="10"/>
      <c r="E35" s="11"/>
      <c r="F35" s="11"/>
      <c r="G35" s="11"/>
      <c r="H35" s="215" t="s">
        <v>182</v>
      </c>
      <c r="I35" s="5"/>
      <c r="J35" s="249"/>
      <c r="K35" s="249"/>
    </row>
    <row r="36" spans="1:11" ht="14.4" customHeight="1" x14ac:dyDescent="0.2">
      <c r="A36" s="21" t="s">
        <v>0</v>
      </c>
      <c r="B36" s="60">
        <v>46195</v>
      </c>
      <c r="C36" s="60">
        <v>46196</v>
      </c>
      <c r="D36" s="60">
        <v>46197</v>
      </c>
      <c r="E36" s="60">
        <v>46198</v>
      </c>
      <c r="F36" s="60">
        <v>46199</v>
      </c>
      <c r="G36" s="60">
        <v>46200</v>
      </c>
      <c r="H36" s="60">
        <v>46201</v>
      </c>
      <c r="I36" s="384" t="s">
        <v>1</v>
      </c>
      <c r="J36" s="386" t="s">
        <v>2</v>
      </c>
      <c r="K36" s="386"/>
    </row>
    <row r="37" spans="1:11" ht="14.4" customHeight="1" x14ac:dyDescent="0.2">
      <c r="A37" s="21" t="s">
        <v>3</v>
      </c>
      <c r="B37" s="2" t="s">
        <v>4</v>
      </c>
      <c r="C37" s="20" t="s">
        <v>5</v>
      </c>
      <c r="D37" s="20" t="s">
        <v>6</v>
      </c>
      <c r="E37" s="2" t="s">
        <v>7</v>
      </c>
      <c r="F37" s="2" t="s">
        <v>8</v>
      </c>
      <c r="G37" s="2" t="s">
        <v>9</v>
      </c>
      <c r="H37" s="23" t="s">
        <v>10</v>
      </c>
      <c r="I37" s="385"/>
      <c r="J37" s="386"/>
      <c r="K37" s="386"/>
    </row>
    <row r="38" spans="1:11" ht="14.4" customHeight="1" x14ac:dyDescent="0.2">
      <c r="A38" s="86" t="s">
        <v>12</v>
      </c>
      <c r="B38" s="11"/>
      <c r="C38" s="20"/>
      <c r="D38" s="20"/>
      <c r="E38" s="11"/>
      <c r="F38" s="11"/>
      <c r="G38" s="11"/>
      <c r="H38" s="11"/>
      <c r="I38" s="5"/>
      <c r="J38" s="249"/>
      <c r="K38" s="250"/>
    </row>
    <row r="39" spans="1:11" ht="14.4" customHeight="1" x14ac:dyDescent="0.2">
      <c r="A39" s="19" t="s">
        <v>30</v>
      </c>
      <c r="B39" s="11" t="s">
        <v>55</v>
      </c>
      <c r="C39" s="20"/>
      <c r="D39" s="10"/>
      <c r="E39" s="11" t="s">
        <v>19</v>
      </c>
      <c r="F39" s="11" t="s">
        <v>24</v>
      </c>
      <c r="G39" s="11" t="s">
        <v>19</v>
      </c>
      <c r="H39" s="11"/>
      <c r="I39" s="5">
        <f t="shared" ref="I39:I45" si="6">COUNTIFS(B39:H39,"&lt;&gt;空",B39:H39,"&lt;&gt;休",B39:H39,"&lt;&gt;調",B39:H39,"&lt;&gt;",B39:H39,"&lt;&gt;調整休")</f>
        <v>4</v>
      </c>
      <c r="J39" s="249">
        <f t="shared" ref="J39" si="7">SUM(COUNTIF(B39:H39,"9-11,15-19"))*(6)+(COUNTIF(B39:H39,"9-12,16-19"))*(6)+(COUNTIF(B39:H39,"9-13,17-19"))*(6)+(COUNTIF(B39:H39,"9-19"))*(9)+(COUNTIF(B39:H39,"9-17"))*(7.25)+(COUNTIF(B39:H39,"9-16"))*(6.25)+(COUNTIF(B39:H39,"9-15"))*(5.5)+(COUNTIF(B39:H39,"9-14"))*(4.5)+(COUNTIF(B39:H39,"9-13"))*(4)+(COUNTIF(B39:H39,"9-12"))*(3)+(COUNTIF(B39:H39,"9-11:30"))*(2.5)+(COUNTIF(B39:H39,"13-19"))*(5.5)+(COUNTIF(B39:H39,"14-19"))*(4.5)+(COUNTIF(B39:H39,"15-19"))*(4)+(COUNTIF(B39:H39,"16-19"))*(3)+(COUNTIF(B39:H39,"16:30-19"))*(2.5)+(COUNTIF(B39:H39,"10-14"))*(4)+(COUNTIF(B39:H39,"草加9-14"))*(4.5)+(COUNTIF(B39:H39,"新田9-14"))*(4.5)+(COUNTIF(B39:H39,"新田14-19"))*(4.5)</f>
        <v>17</v>
      </c>
      <c r="K39" s="249"/>
    </row>
    <row r="40" spans="1:11" ht="14.4" customHeight="1" x14ac:dyDescent="0.2">
      <c r="A40" s="19" t="s">
        <v>17</v>
      </c>
      <c r="B40" s="52"/>
      <c r="C40" s="20"/>
      <c r="D40" s="10"/>
      <c r="E40" s="82" t="s">
        <v>150</v>
      </c>
      <c r="F40" s="11"/>
      <c r="G40" s="11" t="s">
        <v>18</v>
      </c>
      <c r="H40" s="11" t="s">
        <v>19</v>
      </c>
      <c r="I40" s="5">
        <f t="shared" si="6"/>
        <v>3</v>
      </c>
      <c r="J40" s="249">
        <f>SUM(COUNTIF(B40:H40,"9-11,15-19"))*(6)+(COUNTIF(B40:H40,"9-12,16-19"))*(6)+(COUNTIF(B40:H40,"9-13,17-19"))*(6)+(COUNTIF(B40:H40,"9-19"))*(9)+(COUNTIF(B40:H40,"9-17"))*(7.25)+(COUNTIF(B40:H40,"9-16"))*(6.25)+(COUNTIF(B40:H40,"9-15"))*(5.5)+(COUNTIF(B40:H40,"9-14"))*(4.5)+(COUNTIF(B40:H40,"9-13"))*(4)+(COUNTIF(B40:H40,"9-12"))*(3)+(COUNTIF(B40:H40,"9-11:30"))*(2.5)+(COUNTIF(B40:H40,"13-19"))*(5.5)+(COUNTIF(B40:H40,"14-19"))*(4.5)+(COUNTIF(B40:H40,"15-19"))*(4)+(COUNTIF(B40:H40,"16-19"))*(3)+(COUNTIF(B40:H40,"16:30-19"))*(2.5)+(COUNTIF(B40:H40,"10-14"))*(4)+(COUNTIF(B40:H40,"草加9-14"))*(4.5)+(COUNTIF(B40:H40,"新田9-14"))*(4.5)+(COUNTIF(B40:H40,"新田14-19"))*(4.5)+(COUNTIF(B40:H40,"受付9-/事務"))*(4.5)</f>
        <v>13.5</v>
      </c>
      <c r="K40" s="249"/>
    </row>
    <row r="41" spans="1:11" ht="14.4" customHeight="1" x14ac:dyDescent="0.2">
      <c r="A41" s="19" t="s">
        <v>52</v>
      </c>
      <c r="B41" s="11" t="s">
        <v>18</v>
      </c>
      <c r="C41" s="20"/>
      <c r="D41" s="28"/>
      <c r="E41" s="52"/>
      <c r="F41" s="11" t="s">
        <v>18</v>
      </c>
      <c r="G41" s="11" t="s">
        <v>19</v>
      </c>
      <c r="H41" s="11"/>
      <c r="I41" s="5">
        <f t="shared" si="6"/>
        <v>3</v>
      </c>
      <c r="J41" s="249">
        <f>SUM(COUNTIF(B41:H41,"9-11,15-19"))*(6)+(COUNTIF(B41:H41,"9-12,16-19"))*(6)+(COUNTIF(B41:H41,"9-13,17-19"))*(6)+(COUNTIF(B41:H41,"9-19"))*(9)+(COUNTIF(B41:H41,"9-17"))*(7.25)+(COUNTIF(B41:H41,"9-16"))*(6.25)+(COUNTIF(B41:H41,"9-15"))*(5.5)+(COUNTIF(B41:H41,"9-14"))*(4.5)+(COUNTIF(B41:H41,"9-13"))*(4)+(COUNTIF(B41:H41,"9-12"))*(3)+(COUNTIF(B41:H41,"9-11:30"))*(2.5)+(COUNTIF(B41:H41,"13-19"))*(5.5)+(COUNTIF(B41:H41,"14-19"))*(4.5)+(COUNTIF(B41:H41,"15-19"))*(4)+(COUNTIF(B41:H41,"16-19"))*(3)+(COUNTIF(B41:H41,"16:30-19"))*(2.5)+(COUNTIF(B41:H41,"10-14"))*(4)+(COUNTIF(B41:H41,"草加9-14"))*(4.5)+(COUNTIF(B41:H41,"新田9-14"))*(4.5)+(COUNTIF(B41:H41,"新田14-19"))*(4.5)</f>
        <v>13.5</v>
      </c>
      <c r="K41" s="249"/>
    </row>
    <row r="42" spans="1:11" ht="14.4" customHeight="1" x14ac:dyDescent="0.2">
      <c r="A42" s="19" t="s">
        <v>119</v>
      </c>
      <c r="B42" s="11" t="s">
        <v>22</v>
      </c>
      <c r="C42" s="28"/>
      <c r="D42" s="28"/>
      <c r="E42" s="11" t="s">
        <v>19</v>
      </c>
      <c r="F42" s="11" t="s">
        <v>19</v>
      </c>
      <c r="G42" s="11"/>
      <c r="H42" s="82" t="s">
        <v>178</v>
      </c>
      <c r="I42" s="5">
        <f t="shared" si="6"/>
        <v>4</v>
      </c>
      <c r="J42" s="249">
        <f>SUM(COUNTIF(B42:H42,"9-11,15-19"))*(6)+(COUNTIF(B42:H42,"9-12,16-19"))*(6)+(COUNTIF(B42:H42,"9-13,17-19"))*(6)+(COUNTIF(B42:H42,"9-19"))*(9)+(COUNTIF(B42:H42,"9-17"))*(7.25)+(COUNTIF(B42:H42,"9-16"))*(6.25)+(COUNTIF(B42:H42,"9-15"))*(5.5)+(COUNTIF(B42:H42,"9-14"))*(4.5)+(COUNTIF(B42:H42,"9-13"))*(4)+(COUNTIF(B42:H42,"9-12"))*(3)+(COUNTIF(B42:H42,"9-11:30"))*(2.5)+(COUNTIF(B42:H42,"13-19"))*(5.5)+(COUNTIF(B42:H42,"14-19"))*(4.5)+(COUNTIF(B42:H42,"15-19"))*(4)+(COUNTIF(B42:H42,"16-19"))*(3)+(COUNTIF(B42:H42,"16:30-19"))*(2.5)+(COUNTIF(B42:H42,"10-14"))*(4)+(COUNTIF(B42:H42,"草加9-14"))*(4.5)+(COUNTIF(B42:H42,"新田9-14"))*(4.5)+(COUNTIF(B42:H42,"新田14-19"))*(4.5)</f>
        <v>9</v>
      </c>
      <c r="K42" s="249"/>
    </row>
    <row r="43" spans="1:11" ht="14.4" customHeight="1" x14ac:dyDescent="0.2">
      <c r="A43" s="19" t="s">
        <v>125</v>
      </c>
      <c r="B43" s="11"/>
      <c r="C43" s="28"/>
      <c r="D43" s="28"/>
      <c r="E43" s="11" t="s">
        <v>18</v>
      </c>
      <c r="F43" s="11"/>
      <c r="G43" s="11" t="s">
        <v>18</v>
      </c>
      <c r="H43" s="11" t="s">
        <v>18</v>
      </c>
      <c r="I43" s="5">
        <f t="shared" si="6"/>
        <v>3</v>
      </c>
      <c r="J43" s="249">
        <f>SUM(COUNTIF(B43:H43,"9-11,15-19"))*(6)+(COUNTIF(B43:H43,"9-12,16-19"))*(6)+(COUNTIF(B43:H43,"9-13,17-19"))*(6)+(COUNTIF(B43:H43,"9-19"))*(9)+(COUNTIF(B43:H43,"9-17"))*(7.25)+(COUNTIF(B43:H43,"9-16"))*(6.25)+(COUNTIF(B43:H43,"9-15"))*(5.5)+(COUNTIF(B43:H43,"9-14"))*(4.5)+(COUNTIF(B43:H43,"9-13"))*(4)+(COUNTIF(B43:H43,"9-12"))*(3)+(COUNTIF(B43:H43,"9-11:30"))*(2.5)+(COUNTIF(B43:H43,"13-19"))*(5.5)+(COUNTIF(B43:H43,"14-19"))*(4.5)+(COUNTIF(B43:H43,"15-19"))*(4)+(COUNTIF(B43:H43,"16-19"))*(3)+(COUNTIF(B43:H43,"16:30-19"))*(2.5)+(COUNTIF(B43:H43,"10-14"))*(4)+(COUNTIF(B43:H43,"草加9-14"))*(4.5)+(COUNTIF(B43:H43,"新田9-14"))*(4.5)+(COUNTIF(B43:H43,"新田14-19"))*(4.5)</f>
        <v>13.5</v>
      </c>
      <c r="K43" s="249"/>
    </row>
    <row r="44" spans="1:11" ht="14.4" customHeight="1" x14ac:dyDescent="0.2">
      <c r="A44" s="19" t="s">
        <v>31</v>
      </c>
      <c r="B44" s="71" t="s">
        <v>47</v>
      </c>
      <c r="C44" s="10"/>
      <c r="D44" s="10"/>
      <c r="E44" s="11"/>
      <c r="F44" s="11" t="s">
        <v>19</v>
      </c>
      <c r="G44" s="71" t="s">
        <v>48</v>
      </c>
      <c r="H44" s="71" t="s">
        <v>47</v>
      </c>
      <c r="I44" s="5">
        <f t="shared" si="6"/>
        <v>4</v>
      </c>
      <c r="J44" s="249">
        <f>SUM(COUNTIF(B44:H44,"9-11,15-19"))*(6)+(COUNTIF(B44:H44,"9-12,16-19"))*(6)+(COUNTIF(B44:H44,"9-13,17-19"))*(6)+(COUNTIF(B44:H44,"9-19"))*(9)+(COUNTIF(B44:H44,"9-17"))*(7.25)+(COUNTIF(B44:H44,"9-16"))*(6.25)+(COUNTIF(B44:H44,"9-15"))*(5.5)+(COUNTIF(B44:H44,"9-14"))*(4.5)+(COUNTIF(B44:H44,"9-13"))*(4)+(COUNTIF(B44:H44,"9-12"))*(3)+(COUNTIF(B44:H44,"9-11:30"))*(2.5)+(COUNTIF(B44:H44,"13-19"))*(5.5)+(COUNTIF(B44:H44,"14-19"))*(4.5)+(COUNTIF(B44:H44,"15-19"))*(4)+(COUNTIF(B44:H44,"16-19"))*(3)+(COUNTIF(B44:H44,"16:30-19"))*(2.5)+(COUNTIF(B44:H44,"10-14"))*(4)+(COUNTIF(B44:H44,"草加9-14"))*(4.5)+(COUNTIF(B44:H44,"新田9-14"))*(4.5)+(COUNTIF(B44:H44,"新田14-19"))*(4.5)</f>
        <v>18</v>
      </c>
      <c r="K44" s="249"/>
    </row>
    <row r="45" spans="1:11" ht="14.4" customHeight="1" x14ac:dyDescent="0.2">
      <c r="A45" s="175" t="s">
        <v>53</v>
      </c>
      <c r="B45" s="11"/>
      <c r="C45" s="10"/>
      <c r="D45" s="10"/>
      <c r="E45" s="11"/>
      <c r="F45" s="11"/>
      <c r="G45" s="11"/>
      <c r="H45" s="195"/>
      <c r="I45" s="5">
        <f t="shared" si="6"/>
        <v>0</v>
      </c>
      <c r="J45" s="249">
        <f>SUM(COUNTIF(B45:H45,"9-11,15-19"))*(6)+(COUNTIF(B45:H45,"9-12,16-19"))*(6)+(COUNTIF(B45:H45,"9-13,17-19"))*(6)+(COUNTIF(B45:H45,"9-19"))*(9)+(COUNTIF(B45:H45,"9-17"))*(7.25)+(COUNTIF(B45:H45,"9-16"))*(6.25)+(COUNTIF(B45:H45,"9-15"))*(5.5)+(COUNTIF(B45:H45,"9-14"))*(4.5)+(COUNTIF(B45:H45,"9-13"))*(4)+(COUNTIF(B45:H45,"9-12"))*(3)+(COUNTIF(B45:H45,"9-11:30"))*(2.5)+(COUNTIF(B45:H45,"13-19"))*(5.5)+(COUNTIF(B45:H45,"14-19"))*(4.5)+(COUNTIF(B45:H45,"15-19"))*(4)+(COUNTIF(B45:H45,"16-19"))*(3)+(COUNTIF(B45:H45,"16:30-19"))*(2.5)+(COUNTIF(B45:H45,"10-14"))*(4)+(COUNTIF(B45:H45,"草加9-14"))*(4.5)+(COUNTIF(B45:H45,"新田9-14"))*(4.5)+(COUNTIF(B45:H45,"新田14-19"))*(4.5)</f>
        <v>0</v>
      </c>
      <c r="K45" s="249"/>
    </row>
    <row r="46" spans="1:11" ht="14.4" customHeight="1" x14ac:dyDescent="0.2">
      <c r="A46" s="175"/>
      <c r="B46" s="11"/>
      <c r="C46" s="10"/>
      <c r="D46" s="10"/>
      <c r="E46" s="11"/>
      <c r="F46" s="11"/>
      <c r="G46" s="11"/>
      <c r="H46" s="195"/>
      <c r="I46" s="5"/>
      <c r="J46" s="249"/>
      <c r="K46" s="249"/>
    </row>
    <row r="47" spans="1:11" ht="14.4" customHeight="1" x14ac:dyDescent="0.2">
      <c r="A47" s="21" t="s">
        <v>0</v>
      </c>
      <c r="B47" s="22">
        <v>46202</v>
      </c>
      <c r="C47" s="22">
        <v>46203</v>
      </c>
      <c r="D47" s="22"/>
      <c r="E47" s="22"/>
      <c r="F47" s="22"/>
      <c r="G47" s="22"/>
      <c r="H47" s="22"/>
      <c r="I47" s="384" t="s">
        <v>1</v>
      </c>
      <c r="J47" s="386" t="s">
        <v>2</v>
      </c>
      <c r="K47" s="386"/>
    </row>
    <row r="48" spans="1:11" ht="14.4" customHeight="1" x14ac:dyDescent="0.2">
      <c r="A48" s="21" t="s">
        <v>3</v>
      </c>
      <c r="B48" s="2" t="s">
        <v>4</v>
      </c>
      <c r="C48" s="174" t="s">
        <v>5</v>
      </c>
      <c r="D48" s="20"/>
      <c r="E48" s="2"/>
      <c r="F48" s="2"/>
      <c r="G48" s="2"/>
      <c r="H48" s="23"/>
      <c r="I48" s="385"/>
      <c r="J48" s="386"/>
      <c r="K48" s="386"/>
    </row>
    <row r="49" spans="1:14" ht="14.4" customHeight="1" x14ac:dyDescent="0.2">
      <c r="A49" s="86" t="s">
        <v>11</v>
      </c>
      <c r="B49" s="11"/>
      <c r="C49" s="20"/>
      <c r="D49" s="20"/>
      <c r="E49" s="20"/>
      <c r="F49" s="20"/>
      <c r="G49" s="20"/>
      <c r="H49" s="20"/>
      <c r="I49" s="5"/>
      <c r="J49" s="323"/>
      <c r="K49" s="250"/>
    </row>
    <row r="50" spans="1:14" ht="14.4" customHeight="1" x14ac:dyDescent="0.2">
      <c r="A50" s="19" t="s">
        <v>30</v>
      </c>
      <c r="B50" s="11" t="s">
        <v>19</v>
      </c>
      <c r="C50" s="20"/>
      <c r="D50" s="10"/>
      <c r="E50" s="10"/>
      <c r="F50" s="10"/>
      <c r="G50" s="10"/>
      <c r="H50" s="10"/>
      <c r="I50" s="5">
        <f t="shared" ref="I50:I56" si="8">COUNTIFS(B50:H50,"&lt;&gt;空",B50:H50,"&lt;&gt;休",B50:H50,"&lt;&gt;調",B50:H50,"&lt;&gt;",B50:H50,"&lt;&gt;調整休")</f>
        <v>1</v>
      </c>
      <c r="J50" s="249">
        <f t="shared" ref="J50" si="9">SUM(COUNTIF(B50:H50,"9-11,15-19"))*(6)+(COUNTIF(B50:H50,"9-12,16-19"))*(6)+(COUNTIF(B50:H50,"9-13,17-19"))*(6)+(COUNTIF(B50:H50,"9-19"))*(9)+(COUNTIF(B50:H50,"9-17"))*(7.25)+(COUNTIF(B50:H50,"9-16"))*(6.25)+(COUNTIF(B50:H50,"9-15"))*(5.5)+(COUNTIF(B50:H50,"9-14"))*(4.5)+(COUNTIF(B50:H50,"9-13"))*(4)+(COUNTIF(B50:H50,"9-12"))*(3)+(COUNTIF(B50:H50,"9-11:30"))*(2.5)+(COUNTIF(B50:H50,"13-19"))*(5.5)+(COUNTIF(B50:H50,"14-19"))*(4.5)+(COUNTIF(B50:H50,"15-19"))*(4)+(COUNTIF(B50:H50,"16-19"))*(3)+(COUNTIF(B50:H50,"16:30-19"))*(2.5)+(COUNTIF(B50:H50,"10-14"))*(4)+(COUNTIF(B50:H50,"草加9-14"))*(4.5)+(COUNTIF(B50:H50,"新田9-14"))*(4.5)+(COUNTIF(B50:H50,"新田14-19"))*(4.5)</f>
        <v>4.5</v>
      </c>
      <c r="K50" s="249"/>
    </row>
    <row r="51" spans="1:14" ht="14.4" customHeight="1" x14ac:dyDescent="0.2">
      <c r="A51" s="19" t="s">
        <v>17</v>
      </c>
      <c r="B51" s="11"/>
      <c r="C51" s="20"/>
      <c r="D51" s="10"/>
      <c r="E51" s="10"/>
      <c r="F51" s="10"/>
      <c r="G51" s="10"/>
      <c r="H51" s="10"/>
      <c r="I51" s="5">
        <f t="shared" si="8"/>
        <v>0</v>
      </c>
      <c r="J51" s="249">
        <f>SUM(COUNTIF(B51:H51,"9-11,15-19"))*(6)+(COUNTIF(B51:H51,"9-12,16-19"))*(6)+(COUNTIF(B51:H51,"9-13,17-19"))*(6)+(COUNTIF(B51:H51,"9-19"))*(9)+(COUNTIF(B51:H51,"9-17"))*(7.25)+(COUNTIF(B51:H51,"9-16"))*(6.25)+(COUNTIF(B51:H51,"9-15"))*(5.5)+(COUNTIF(B51:H51,"9-14"))*(4.5)+(COUNTIF(B51:H51,"9-13"))*(4)+(COUNTIF(B51:H51,"9-12"))*(3)+(COUNTIF(B51:H51,"9-11:30"))*(2.5)+(COUNTIF(B51:H51,"13-19"))*(5.5)+(COUNTIF(B51:H51,"14-19"))*(4.5)+(COUNTIF(B51:H51,"15-19"))*(4)+(COUNTIF(B51:H51,"16-19"))*(3)+(COUNTIF(B51:H51,"16:30-19"))*(2.5)+(COUNTIF(B51:H51,"10-14"))*(4)+(COUNTIF(B51:H51,"草加9-14"))*(4.5)+(COUNTIF(B51:H51,"新田9-14"))*(4.5)+(COUNTIF(B51:H51,"新田14-19"))*(4.5)+(COUNTIF(B51:H51,"受付9-/事務"))*(4.5)</f>
        <v>0</v>
      </c>
      <c r="K51" s="249"/>
    </row>
    <row r="52" spans="1:14" ht="14.4" customHeight="1" x14ac:dyDescent="0.2">
      <c r="A52" s="19" t="s">
        <v>52</v>
      </c>
      <c r="B52" s="11" t="s">
        <v>18</v>
      </c>
      <c r="C52" s="20"/>
      <c r="D52" s="28"/>
      <c r="E52" s="28"/>
      <c r="F52" s="28"/>
      <c r="G52" s="28"/>
      <c r="H52" s="28"/>
      <c r="I52" s="5">
        <f t="shared" si="8"/>
        <v>1</v>
      </c>
      <c r="J52" s="249">
        <f>SUM(COUNTIF(B52:H52,"9-11,15-19"))*(6)+(COUNTIF(B52:H52,"9-12,16-19"))*(6)+(COUNTIF(B52:H52,"9-13,17-19"))*(6)+(COUNTIF(B52:H52,"9-19"))*(9)+(COUNTIF(B52:H52,"9-17"))*(7.25)+(COUNTIF(B52:H52,"9-16"))*(6.25)+(COUNTIF(B52:H52,"9-15"))*(5.5)+(COUNTIF(B52:H52,"9-14"))*(4.5)+(COUNTIF(B52:H52,"9-13"))*(4)+(COUNTIF(B52:H52,"9-12"))*(3)+(COUNTIF(B52:H52,"9-11:30"))*(2.5)+(COUNTIF(B52:H52,"13-19"))*(5.5)+(COUNTIF(B52:H52,"14-19"))*(4.5)+(COUNTIF(B52:H52,"15-19"))*(4)+(COUNTIF(B52:H52,"16-19"))*(3)+(COUNTIF(B52:H52,"16:30-19"))*(2.5)+(COUNTIF(B52:H52,"10-14"))*(4)+(COUNTIF(B52:H52,"草加9-14"))*(4.5)+(COUNTIF(B52:H52,"新田9-14"))*(4.5)+(COUNTIF(B52:H52,"新田14-19"))*(4.5)</f>
        <v>4.5</v>
      </c>
      <c r="K52" s="249"/>
    </row>
    <row r="53" spans="1:14" ht="14.4" customHeight="1" x14ac:dyDescent="0.2">
      <c r="A53" s="19" t="s">
        <v>119</v>
      </c>
      <c r="B53" s="11" t="s">
        <v>19</v>
      </c>
      <c r="C53" s="28"/>
      <c r="D53" s="28"/>
      <c r="E53" s="28"/>
      <c r="F53" s="28"/>
      <c r="G53" s="28"/>
      <c r="H53" s="28"/>
      <c r="I53" s="5">
        <f t="shared" si="8"/>
        <v>1</v>
      </c>
      <c r="J53" s="249">
        <f>SUM(COUNTIF(B53:H53,"9-11,15-19"))*(6)+(COUNTIF(B53:H53,"9-12,16-19"))*(6)+(COUNTIF(B53:H53,"9-13,17-19"))*(6)+(COUNTIF(B53:H53,"9-19"))*(9)+(COUNTIF(B53:H53,"9-17"))*(7.25)+(COUNTIF(B53:H53,"9-16"))*(6.25)+(COUNTIF(B53:H53,"9-15"))*(5.5)+(COUNTIF(B53:H53,"9-14"))*(4.5)+(COUNTIF(B53:H53,"9-13"))*(4)+(COUNTIF(B53:H53,"9-12"))*(3)+(COUNTIF(B53:H53,"9-11:30"))*(2.5)+(COUNTIF(B53:H53,"13-19"))*(5.5)+(COUNTIF(B53:H53,"14-19"))*(4.5)+(COUNTIF(B53:H53,"15-19"))*(4)+(COUNTIF(B53:H53,"16-19"))*(3)+(COUNTIF(B53:H53,"16:30-19"))*(2.5)+(COUNTIF(B53:H53,"10-14"))*(4)+(COUNTIF(B53:H53,"草加9-14"))*(4.5)+(COUNTIF(B53:H53,"新田9-14"))*(4.5)+(COUNTIF(B53:H53,"新田14-19"))*(4.5)</f>
        <v>4.5</v>
      </c>
      <c r="K53" s="249"/>
    </row>
    <row r="54" spans="1:14" ht="14.4" customHeight="1" x14ac:dyDescent="0.2">
      <c r="A54" s="19" t="s">
        <v>125</v>
      </c>
      <c r="B54" s="11"/>
      <c r="C54" s="28"/>
      <c r="D54" s="28"/>
      <c r="E54" s="28"/>
      <c r="F54" s="28"/>
      <c r="G54" s="28"/>
      <c r="H54" s="28"/>
      <c r="I54" s="5">
        <f t="shared" si="8"/>
        <v>0</v>
      </c>
      <c r="J54" s="249">
        <f>SUM(COUNTIF(B54:H54,"9-11,15-19"))*(6)+(COUNTIF(B54:H54,"9-12,16-19"))*(6)+(COUNTIF(B54:H54,"9-13,17-19"))*(6)+(COUNTIF(B54:H54,"9-19"))*(9)+(COUNTIF(B54:H54,"9-17"))*(7.25)+(COUNTIF(B54:H54,"9-16"))*(6.25)+(COUNTIF(B54:H54,"9-15"))*(5.5)+(COUNTIF(B54:H54,"9-14"))*(4.5)+(COUNTIF(B54:H54,"9-13"))*(4)+(COUNTIF(B54:H54,"9-12"))*(3)+(COUNTIF(B54:H54,"9-11:30"))*(2.5)+(COUNTIF(B54:H54,"13-19"))*(5.5)+(COUNTIF(B54:H54,"14-19"))*(4.5)+(COUNTIF(B54:H54,"15-19"))*(4)+(COUNTIF(B54:H54,"16-19"))*(3)+(COUNTIF(B54:H54,"16:30-19"))*(2.5)+(COUNTIF(B54:H54,"10-14"))*(4)+(COUNTIF(B54:H54,"草加9-14"))*(4.5)+(COUNTIF(B54:H54,"新田9-14"))*(4.5)+(COUNTIF(B54:H54,"新田14-19"))*(4.5)</f>
        <v>0</v>
      </c>
      <c r="K54" s="249"/>
    </row>
    <row r="55" spans="1:14" ht="14.4" customHeight="1" x14ac:dyDescent="0.2">
      <c r="A55" s="19" t="s">
        <v>31</v>
      </c>
      <c r="B55" s="11" t="s">
        <v>18</v>
      </c>
      <c r="C55" s="10"/>
      <c r="D55" s="10"/>
      <c r="E55" s="10"/>
      <c r="F55" s="10"/>
      <c r="G55" s="10"/>
      <c r="H55" s="10"/>
      <c r="I55" s="5">
        <f t="shared" si="8"/>
        <v>1</v>
      </c>
      <c r="J55" s="249">
        <f>SUM(COUNTIF(B55:H55,"9-11,15-19"))*(6)+(COUNTIF(B55:H55,"9-12,16-19"))*(6)+(COUNTIF(B55:H55,"9-13,17-19"))*(6)+(COUNTIF(B55:H55,"9-19"))*(9)+(COUNTIF(B55:H55,"9-17"))*(7.25)+(COUNTIF(B55:H55,"9-16"))*(6.25)+(COUNTIF(B55:H55,"9-15"))*(5.5)+(COUNTIF(B55:H55,"9-14"))*(4.5)+(COUNTIF(B55:H55,"9-13"))*(4)+(COUNTIF(B55:H55,"9-12"))*(3)+(COUNTIF(B55:H55,"9-11:30"))*(2.5)+(COUNTIF(B55:H55,"13-19"))*(5.5)+(COUNTIF(B55:H55,"14-19"))*(4.5)+(COUNTIF(B55:H55,"15-19"))*(4)+(COUNTIF(B55:H55,"16-19"))*(3)+(COUNTIF(B55:H55,"16:30-19"))*(2.5)+(COUNTIF(B55:H55,"10-14"))*(4)+(COUNTIF(B55:H55,"草加9-14"))*(4.5)+(COUNTIF(B55:H55,"新田9-14"))*(4.5)+(COUNTIF(B55:H55,"新田14-19"))*(4.5)</f>
        <v>4.5</v>
      </c>
      <c r="K55" s="249"/>
    </row>
    <row r="56" spans="1:14" ht="14.4" customHeight="1" x14ac:dyDescent="0.2">
      <c r="A56" s="19"/>
      <c r="B56" s="11"/>
      <c r="C56" s="10"/>
      <c r="D56" s="10"/>
      <c r="E56" s="10"/>
      <c r="F56" s="10"/>
      <c r="G56" s="10"/>
      <c r="H56" s="10"/>
      <c r="I56" s="5">
        <f t="shared" si="8"/>
        <v>0</v>
      </c>
      <c r="J56" s="249">
        <f>SUM(COUNTIF(B56:H56,"9-11,15-19"))*(6)+(COUNTIF(B56:H56,"9-12,16-19"))*(6)+(COUNTIF(B56:H56,"9-13,17-19"))*(6)+(COUNTIF(B56:H56,"9-19"))*(9)+(COUNTIF(B56:H56,"9-17"))*(7.25)+(COUNTIF(B56:H56,"9-16"))*(6.25)+(COUNTIF(B56:H56,"9-15"))*(5.5)+(COUNTIF(B56:H56,"9-14"))*(4.5)+(COUNTIF(B56:H56,"9-13"))*(4)+(COUNTIF(B56:H56,"9-12"))*(3)+(COUNTIF(B56:H56,"9-11:30"))*(2.5)+(COUNTIF(B56:H56,"13-19"))*(5.5)+(COUNTIF(B56:H56,"14-19"))*(4.5)+(COUNTIF(B56:H56,"15-19"))*(4)+(COUNTIF(B56:H56,"16-19"))*(3)+(COUNTIF(B56:H56,"16:30-19"))*(2.5)+(COUNTIF(B56:H56,"10-14"))*(4)+(COUNTIF(B56:H56,"草加9-14"))*(4.5)+(COUNTIF(B56:H56,"新田9-14"))*(4.5)+(COUNTIF(B56:H56,"新田14-19"))*(4.5)</f>
        <v>0</v>
      </c>
      <c r="K56" s="249"/>
    </row>
    <row r="57" spans="1:14" ht="14.4" customHeight="1" x14ac:dyDescent="0.2">
      <c r="A57" s="175" t="s">
        <v>53</v>
      </c>
      <c r="B57" s="11"/>
      <c r="C57" s="10"/>
      <c r="D57" s="10"/>
      <c r="E57" s="10"/>
      <c r="F57" s="10"/>
      <c r="G57" s="10"/>
      <c r="H57" s="10"/>
      <c r="I57" s="5"/>
      <c r="J57" s="249"/>
      <c r="K57" s="249"/>
    </row>
    <row r="58" spans="1:14" ht="14.4" customHeight="1" x14ac:dyDescent="0.2">
      <c r="A58" s="35"/>
      <c r="B58" s="36"/>
      <c r="C58" s="36"/>
      <c r="D58" s="36"/>
      <c r="E58" s="36"/>
      <c r="F58" s="36"/>
      <c r="G58" s="36"/>
      <c r="H58" s="36"/>
      <c r="I58" s="369" t="s">
        <v>189</v>
      </c>
      <c r="J58" s="369"/>
      <c r="K58" s="369"/>
    </row>
    <row r="59" spans="1:14" ht="14.4" customHeight="1" x14ac:dyDescent="0.2">
      <c r="A59" s="270" t="s">
        <v>29</v>
      </c>
      <c r="B59" s="271"/>
      <c r="C59" s="12"/>
      <c r="D59" s="272" t="s">
        <v>26</v>
      </c>
      <c r="E59" s="272"/>
      <c r="H59" s="9"/>
      <c r="I59" s="9"/>
      <c r="M59" s="13"/>
      <c r="N59" s="14"/>
    </row>
    <row r="60" spans="1:14" ht="14.4" customHeight="1" x14ac:dyDescent="0.2">
      <c r="A60" s="265" t="s">
        <v>63</v>
      </c>
      <c r="B60" s="266"/>
      <c r="C60" s="267" t="s">
        <v>67</v>
      </c>
      <c r="D60" s="268"/>
      <c r="E60" s="268"/>
      <c r="F60" s="268"/>
      <c r="G60" s="268"/>
      <c r="H60" s="268"/>
      <c r="I60" s="268"/>
      <c r="J60" s="268"/>
      <c r="K60" s="268"/>
      <c r="M60" s="13"/>
      <c r="N60" s="14"/>
    </row>
    <row r="61" spans="1:14" ht="14.4" customHeight="1" x14ac:dyDescent="0.2">
      <c r="A61" s="265" t="s">
        <v>64</v>
      </c>
      <c r="B61" s="266"/>
      <c r="C61" s="267" t="s">
        <v>68</v>
      </c>
      <c r="D61" s="268"/>
      <c r="E61" s="268"/>
      <c r="F61" s="268"/>
      <c r="G61" s="268"/>
      <c r="H61" s="268"/>
      <c r="I61" s="268"/>
      <c r="J61" s="268"/>
      <c r="K61" s="268"/>
    </row>
    <row r="62" spans="1:14" ht="14.4" customHeight="1" x14ac:dyDescent="0.2">
      <c r="A62" s="64" t="s">
        <v>65</v>
      </c>
      <c r="B62" s="65"/>
      <c r="C62" s="282" t="s">
        <v>25</v>
      </c>
      <c r="D62" s="273"/>
      <c r="E62" s="273"/>
      <c r="F62" s="273"/>
      <c r="G62" s="273"/>
      <c r="H62" s="273"/>
      <c r="I62" s="273"/>
      <c r="J62" s="273"/>
      <c r="K62" s="273"/>
    </row>
    <row r="63" spans="1:14" ht="14.4" customHeight="1" x14ac:dyDescent="0.2">
      <c r="A63" s="64" t="s">
        <v>66</v>
      </c>
      <c r="B63" s="65"/>
      <c r="C63" s="66" t="s">
        <v>27</v>
      </c>
      <c r="D63" s="67"/>
      <c r="E63" s="67"/>
      <c r="F63" s="67"/>
      <c r="G63" s="67"/>
      <c r="H63" s="67"/>
      <c r="I63" s="67"/>
      <c r="J63" s="67"/>
      <c r="K63" s="67"/>
    </row>
    <row r="64" spans="1:14" ht="14.4" customHeight="1" x14ac:dyDescent="0.2">
      <c r="A64" s="283"/>
      <c r="B64" s="284"/>
      <c r="C64" s="282" t="s">
        <v>69</v>
      </c>
      <c r="D64" s="273"/>
      <c r="E64" s="273"/>
      <c r="F64" s="273"/>
      <c r="G64" s="273"/>
      <c r="H64" s="273"/>
      <c r="I64" s="273"/>
      <c r="J64" s="273"/>
      <c r="K64" s="273"/>
    </row>
    <row r="65" spans="1:11" ht="14.4" customHeight="1" x14ac:dyDescent="0.2">
      <c r="A65" s="285" t="s">
        <v>169</v>
      </c>
      <c r="B65" s="286"/>
      <c r="C65" s="67" t="s">
        <v>28</v>
      </c>
      <c r="D65" s="67"/>
      <c r="E65" s="67"/>
      <c r="F65" s="67"/>
      <c r="G65" s="67"/>
      <c r="H65" s="67"/>
      <c r="I65" s="67"/>
      <c r="J65" s="67"/>
      <c r="K65" s="67"/>
    </row>
    <row r="66" spans="1:11" ht="14.4" customHeight="1" x14ac:dyDescent="0.2">
      <c r="A66" s="274" t="s">
        <v>172</v>
      </c>
      <c r="B66" s="275"/>
      <c r="C66" s="273" t="s">
        <v>74</v>
      </c>
      <c r="D66" s="273"/>
      <c r="E66" s="273"/>
      <c r="F66" s="273"/>
      <c r="G66" s="273"/>
      <c r="H66" s="273"/>
      <c r="I66" s="273"/>
      <c r="J66" s="273"/>
      <c r="K66" s="273"/>
    </row>
    <row r="67" spans="1:11" ht="14.4" customHeight="1" x14ac:dyDescent="0.2">
      <c r="A67" s="276"/>
      <c r="B67" s="277"/>
      <c r="C67" s="280" t="s">
        <v>170</v>
      </c>
      <c r="D67" s="281"/>
      <c r="E67" s="281"/>
      <c r="F67" s="281"/>
      <c r="G67" s="281"/>
      <c r="H67" s="281"/>
      <c r="I67" s="281"/>
      <c r="J67" s="243"/>
      <c r="K67" s="243"/>
    </row>
    <row r="68" spans="1:11" ht="14.4" customHeight="1" x14ac:dyDescent="0.2">
      <c r="A68" s="278"/>
      <c r="B68" s="279"/>
      <c r="C68" s="280"/>
      <c r="D68" s="281"/>
      <c r="E68" s="281"/>
      <c r="F68" s="281"/>
      <c r="G68" s="281"/>
      <c r="H68" s="281"/>
      <c r="I68" s="281"/>
    </row>
  </sheetData>
  <mergeCells count="72">
    <mergeCell ref="J11:K11"/>
    <mergeCell ref="B1:F1"/>
    <mergeCell ref="H1:K1"/>
    <mergeCell ref="I3:I4"/>
    <mergeCell ref="J3:K4"/>
    <mergeCell ref="F5:H5"/>
    <mergeCell ref="J5:K5"/>
    <mergeCell ref="J6:K6"/>
    <mergeCell ref="J7:K7"/>
    <mergeCell ref="J8:K8"/>
    <mergeCell ref="J9:K9"/>
    <mergeCell ref="J10:K10"/>
    <mergeCell ref="J23:K23"/>
    <mergeCell ref="J12:K12"/>
    <mergeCell ref="J13:K13"/>
    <mergeCell ref="I14:I15"/>
    <mergeCell ref="J14:K15"/>
    <mergeCell ref="J16:K16"/>
    <mergeCell ref="J17:K17"/>
    <mergeCell ref="J18:K18"/>
    <mergeCell ref="J19:K19"/>
    <mergeCell ref="J20:K20"/>
    <mergeCell ref="J21:K21"/>
    <mergeCell ref="J22:K22"/>
    <mergeCell ref="J35:K35"/>
    <mergeCell ref="J24:K24"/>
    <mergeCell ref="I25:I26"/>
    <mergeCell ref="J25:K26"/>
    <mergeCell ref="J27:K27"/>
    <mergeCell ref="J28:K28"/>
    <mergeCell ref="J29:K29"/>
    <mergeCell ref="J30:K30"/>
    <mergeCell ref="J31:K31"/>
    <mergeCell ref="J32:K32"/>
    <mergeCell ref="J33:K33"/>
    <mergeCell ref="J34:K34"/>
    <mergeCell ref="I47:I48"/>
    <mergeCell ref="J47:K48"/>
    <mergeCell ref="I36:I37"/>
    <mergeCell ref="J36:K37"/>
    <mergeCell ref="J38:K38"/>
    <mergeCell ref="J39:K39"/>
    <mergeCell ref="J40:K40"/>
    <mergeCell ref="J41:K41"/>
    <mergeCell ref="J54:K54"/>
    <mergeCell ref="J42:K42"/>
    <mergeCell ref="J43:K43"/>
    <mergeCell ref="J44:K44"/>
    <mergeCell ref="J45:K45"/>
    <mergeCell ref="J46:K46"/>
    <mergeCell ref="J49:K49"/>
    <mergeCell ref="J50:K50"/>
    <mergeCell ref="J51:K51"/>
    <mergeCell ref="J52:K52"/>
    <mergeCell ref="J53:K53"/>
    <mergeCell ref="A60:B60"/>
    <mergeCell ref="C60:K60"/>
    <mergeCell ref="A61:B61"/>
    <mergeCell ref="C61:K61"/>
    <mergeCell ref="C62:K62"/>
    <mergeCell ref="J55:K55"/>
    <mergeCell ref="J56:K56"/>
    <mergeCell ref="J57:K57"/>
    <mergeCell ref="I58:K58"/>
    <mergeCell ref="A59:B59"/>
    <mergeCell ref="D59:E59"/>
    <mergeCell ref="A65:B65"/>
    <mergeCell ref="C66:K66"/>
    <mergeCell ref="A66:B68"/>
    <mergeCell ref="C67:I68"/>
    <mergeCell ref="A64:B64"/>
    <mergeCell ref="C64:K64"/>
  </mergeCells>
  <phoneticPr fontId="13"/>
  <pageMargins left="0.39370078740157483" right="0.27559055118110237" top="0.31496062992125984" bottom="0.11811023622047245" header="0.51181102362204722" footer="0.51181102362204722"/>
  <pageSetup paperSize="9" scale="91"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586B1C-C94B-48EE-95CE-6A2DB3AB5207}">
  <sheetPr>
    <tabColor theme="7" tint="0.59999389629810485"/>
  </sheetPr>
  <dimension ref="A1:N66"/>
  <sheetViews>
    <sheetView zoomScaleNormal="100" workbookViewId="0">
      <selection activeCell="M33" sqref="M33"/>
    </sheetView>
  </sheetViews>
  <sheetFormatPr defaultColWidth="9" defaultRowHeight="13.2" x14ac:dyDescent="0.2"/>
  <cols>
    <col min="1" max="1" width="12.88671875" style="84" customWidth="1"/>
    <col min="2" max="8" width="8.44140625" style="84" customWidth="1"/>
    <col min="9" max="9" width="7.21875" style="84" customWidth="1"/>
    <col min="10" max="10" width="8.77734375" style="85" customWidth="1"/>
    <col min="11" max="11" width="5.77734375" customWidth="1"/>
  </cols>
  <sheetData>
    <row r="1" spans="1:11" ht="15" thickBot="1" x14ac:dyDescent="0.25">
      <c r="A1" s="53" t="s">
        <v>56</v>
      </c>
      <c r="B1" s="293" t="s">
        <v>167</v>
      </c>
      <c r="C1" s="293"/>
      <c r="D1" s="293"/>
      <c r="E1" s="293"/>
      <c r="F1" s="293"/>
      <c r="G1" s="294"/>
      <c r="H1" s="408" t="s">
        <v>85</v>
      </c>
      <c r="I1" s="409"/>
      <c r="J1" s="410"/>
      <c r="K1" s="411"/>
    </row>
    <row r="2" spans="1:11" ht="9" customHeight="1" x14ac:dyDescent="0.2">
      <c r="A2" s="94"/>
    </row>
    <row r="3" spans="1:11" s="12" customFormat="1" ht="14.25" customHeight="1" x14ac:dyDescent="0.2">
      <c r="A3" s="95" t="s">
        <v>0</v>
      </c>
      <c r="B3" s="116">
        <v>46174</v>
      </c>
      <c r="C3" s="116">
        <v>46175</v>
      </c>
      <c r="D3" s="116">
        <v>46176</v>
      </c>
      <c r="E3" s="116">
        <v>46177</v>
      </c>
      <c r="F3" s="116">
        <v>46178</v>
      </c>
      <c r="G3" s="116">
        <v>46179</v>
      </c>
      <c r="H3" s="116">
        <v>46180</v>
      </c>
      <c r="I3" s="412" t="s">
        <v>1</v>
      </c>
      <c r="J3" s="397" t="s">
        <v>174</v>
      </c>
      <c r="K3" s="398"/>
    </row>
    <row r="4" spans="1:11" s="100" customFormat="1" ht="14.25" customHeight="1" x14ac:dyDescent="0.2">
      <c r="A4" s="96" t="s">
        <v>3</v>
      </c>
      <c r="B4" s="98" t="s">
        <v>4</v>
      </c>
      <c r="C4" s="98" t="s">
        <v>5</v>
      </c>
      <c r="D4" s="98" t="s">
        <v>6</v>
      </c>
      <c r="E4" s="98" t="s">
        <v>7</v>
      </c>
      <c r="F4" s="98" t="s">
        <v>8</v>
      </c>
      <c r="G4" s="98" t="s">
        <v>9</v>
      </c>
      <c r="H4" s="99" t="s">
        <v>10</v>
      </c>
      <c r="I4" s="413"/>
      <c r="J4" s="244">
        <f>SUM(J7:K11)</f>
        <v>86.25</v>
      </c>
      <c r="K4" s="245" t="s">
        <v>176</v>
      </c>
    </row>
    <row r="5" spans="1:11" s="100" customFormat="1" ht="14.25" customHeight="1" x14ac:dyDescent="0.2">
      <c r="A5" s="114" t="s">
        <v>94</v>
      </c>
      <c r="B5" s="101">
        <v>6</v>
      </c>
      <c r="C5" s="98"/>
      <c r="D5" s="97"/>
      <c r="E5" s="101">
        <v>6</v>
      </c>
      <c r="F5" s="101">
        <v>6</v>
      </c>
      <c r="G5" s="101">
        <v>4</v>
      </c>
      <c r="H5" s="101">
        <v>5</v>
      </c>
      <c r="I5" s="102"/>
      <c r="J5" s="244">
        <f>SUM(J13,J12,J6)</f>
        <v>93.5</v>
      </c>
      <c r="K5" s="245" t="s">
        <v>175</v>
      </c>
    </row>
    <row r="6" spans="1:11" ht="13.5" customHeight="1" x14ac:dyDescent="0.2">
      <c r="A6" s="171" t="s">
        <v>157</v>
      </c>
      <c r="B6" s="34" t="s">
        <v>93</v>
      </c>
      <c r="C6" s="115"/>
      <c r="D6" s="103"/>
      <c r="E6" s="34" t="s">
        <v>93</v>
      </c>
      <c r="F6" s="34" t="s">
        <v>93</v>
      </c>
      <c r="G6" s="34" t="s">
        <v>93</v>
      </c>
      <c r="H6" s="34" t="s">
        <v>93</v>
      </c>
      <c r="I6" s="104">
        <f t="shared" ref="I6:I12" si="0">COUNTA(B6:H6)</f>
        <v>5</v>
      </c>
      <c r="J6" s="399">
        <f>SUM(COUNTIF(B6:H6,"8:30-"))*(8.5)</f>
        <v>42.5</v>
      </c>
      <c r="K6" s="399"/>
    </row>
    <row r="7" spans="1:11" ht="13.5" customHeight="1" x14ac:dyDescent="0.2">
      <c r="A7" s="224" t="s">
        <v>88</v>
      </c>
      <c r="B7" s="34" t="s">
        <v>89</v>
      </c>
      <c r="C7" s="90"/>
      <c r="D7" s="158"/>
      <c r="E7" s="34" t="s">
        <v>89</v>
      </c>
      <c r="F7" s="34" t="s">
        <v>89</v>
      </c>
      <c r="G7" s="34" t="s">
        <v>90</v>
      </c>
      <c r="H7" s="34" t="s">
        <v>89</v>
      </c>
      <c r="I7" s="105">
        <f t="shared" si="0"/>
        <v>5</v>
      </c>
      <c r="J7" s="399">
        <f>SUM(COUNTIF(B7:H7,"9-15"))*(5.5)+SUM(COUNTIF(B7:H7,"10-15"))*(4.5)+SUM(COUNTIF(B7:H7,"12-15"))*(3)+SUM(COUNTIF(B7:H7,"9-12"))*(3)+SUM(COUNTIF(B7:H7,"9-17"))*(7.25)+SUM(COUNTIF(B7:H7,"13-15"))*(2)</f>
        <v>29.25</v>
      </c>
      <c r="K7" s="399"/>
    </row>
    <row r="8" spans="1:11" ht="13.5" customHeight="1" x14ac:dyDescent="0.2">
      <c r="A8" s="225" t="s">
        <v>91</v>
      </c>
      <c r="B8" s="34" t="s">
        <v>20</v>
      </c>
      <c r="C8" s="159"/>
      <c r="D8" s="160"/>
      <c r="E8" s="15" t="s">
        <v>58</v>
      </c>
      <c r="F8" s="15" t="s">
        <v>58</v>
      </c>
      <c r="G8" s="15" t="s">
        <v>58</v>
      </c>
      <c r="H8" s="15"/>
      <c r="I8" s="104">
        <f t="shared" si="0"/>
        <v>4</v>
      </c>
      <c r="J8" s="399">
        <f>SUM(COUNTIF(B8:H8,"9-15"))*(5.5)+SUM(COUNTIF(B8:H8,"10-15"))*(4.5)+SUM(COUNTIF(B8:H8,"12-15"))*(3)+SUM(COUNTIF(B8:H8,"9-12"))*(3)+SUM(COUNTIF(B8:H8,"9-17"))*(7.25)+SUM(COUNTIF(B8:H8,"13-15"))*(2)+SUM(COUNTIF(B8:H8,"10-12"))*(2)</f>
        <v>14.5</v>
      </c>
      <c r="K8" s="399"/>
    </row>
    <row r="9" spans="1:11" ht="13.5" customHeight="1" x14ac:dyDescent="0.2">
      <c r="A9" s="171" t="s">
        <v>92</v>
      </c>
      <c r="B9" s="15" t="s">
        <v>18</v>
      </c>
      <c r="C9" s="159"/>
      <c r="D9" s="160"/>
      <c r="E9" s="15"/>
      <c r="F9" s="15" t="s">
        <v>18</v>
      </c>
      <c r="G9" s="15" t="s">
        <v>18</v>
      </c>
      <c r="H9" s="15" t="s">
        <v>18</v>
      </c>
      <c r="I9" s="104">
        <f t="shared" si="0"/>
        <v>4</v>
      </c>
      <c r="J9" s="399">
        <f>SUM(COUNTIF(B9:H9,"9-15"))*(5.5)+SUM(COUNTIF(B9:H9,"10-15"))*(4.5)+SUM(COUNTIF(B9:H9,"12-15"))*(3)+SUM(COUNTIF(B9:H9,"9-12"))*(3)+SUM(COUNTIF(B9:H9,"9-17"))*(7.25)+SUM(COUNTIF(B9:H9,"13-15"))*(2)+SUM(COUNTIF(B9:H9,"9-14"))*(4.5)+SUM(COUNTIF(B9:H9,"10-14"))*(4)</f>
        <v>18</v>
      </c>
      <c r="K9" s="399"/>
    </row>
    <row r="10" spans="1:11" ht="13.5" customHeight="1" x14ac:dyDescent="0.2">
      <c r="A10" s="171" t="s">
        <v>32</v>
      </c>
      <c r="B10" s="56"/>
      <c r="C10" s="158"/>
      <c r="D10" s="158"/>
      <c r="E10" s="34" t="s">
        <v>49</v>
      </c>
      <c r="F10" s="34" t="s">
        <v>49</v>
      </c>
      <c r="G10" s="34"/>
      <c r="H10" s="15" t="s">
        <v>58</v>
      </c>
      <c r="I10" s="104">
        <f t="shared" si="0"/>
        <v>3</v>
      </c>
      <c r="J10" s="399">
        <f>SUM(COUNTIF(B10:H10,"9-15"))*(5.5)+SUM(COUNTIF(B10:H10,"10-15"))*(4.5)+SUM(COUNTIF(B10:H10,"12-15"))*(3)+SUM(COUNTIF(B10:H10,"9-12"))*(3)+SUM(COUNTIF(B10:H10,"9-17"))*(7.25)+SUM(COUNTIF(B10:H10,"13-15"))*(2)+SUM(COUNTIF(B10:H10,"9-14"))*(4.5)+SUM(COUNTIF(B10:H10,"10-14"))*(4)+SUM(COUNTIF(B10:H10,"9-16"))*(6.25)</f>
        <v>15.5</v>
      </c>
      <c r="K10" s="399"/>
    </row>
    <row r="11" spans="1:11" ht="13.5" customHeight="1" x14ac:dyDescent="0.2">
      <c r="A11" s="55" t="s">
        <v>144</v>
      </c>
      <c r="B11" s="34"/>
      <c r="C11" s="158"/>
      <c r="D11" s="158"/>
      <c r="E11" s="15" t="s">
        <v>18</v>
      </c>
      <c r="F11" s="15"/>
      <c r="G11" s="56"/>
      <c r="H11" s="15" t="s">
        <v>18</v>
      </c>
      <c r="I11" s="104">
        <f t="shared" si="0"/>
        <v>2</v>
      </c>
      <c r="J11" s="399">
        <f>SUM(COUNTIF(B11:H11,"9-15"))*(5.5)+SUM(COUNTIF(B11:H11,"10-15"))*(4.5)+SUM(COUNTIF(B11:H11,"12-15"))*(3)+SUM(COUNTIF(B11:H11,"9-12"))*(3)+SUM(COUNTIF(B11:H11,"9-17"))*(7.25)+SUM(COUNTIF(B11:H11,"13-15"))*(2)+SUM(COUNTIF(B11:H11,"9-14"))*(4.5)+SUM(COUNTIF(B11:H11,"10-14"))*(4)</f>
        <v>9</v>
      </c>
      <c r="K11" s="399"/>
    </row>
    <row r="12" spans="1:11" ht="13.5" customHeight="1" thickBot="1" x14ac:dyDescent="0.25">
      <c r="A12" s="226" t="s">
        <v>147</v>
      </c>
      <c r="B12" s="199" t="s">
        <v>93</v>
      </c>
      <c r="C12" s="158"/>
      <c r="D12" s="158"/>
      <c r="E12" s="231" t="s">
        <v>93</v>
      </c>
      <c r="F12" s="199" t="s">
        <v>93</v>
      </c>
      <c r="G12" s="247"/>
      <c r="H12" s="247"/>
      <c r="I12" s="104">
        <f t="shared" si="0"/>
        <v>3</v>
      </c>
      <c r="J12" s="399">
        <f>SUM(COUNTIF(B12:H12,"8:30-"))*(8.5)</f>
        <v>25.5</v>
      </c>
      <c r="K12" s="399"/>
    </row>
    <row r="13" spans="1:11" ht="13.5" customHeight="1" x14ac:dyDescent="0.2">
      <c r="A13" s="400" t="s">
        <v>158</v>
      </c>
      <c r="B13" s="34" t="s">
        <v>93</v>
      </c>
      <c r="C13" s="161"/>
      <c r="D13" s="161"/>
      <c r="E13" s="233" t="s">
        <v>87</v>
      </c>
      <c r="F13" s="233" t="s">
        <v>87</v>
      </c>
      <c r="G13" s="233" t="s">
        <v>87</v>
      </c>
      <c r="H13" s="233" t="s">
        <v>87</v>
      </c>
      <c r="I13" s="402"/>
      <c r="J13" s="404">
        <f>SUM(COUNTIF(B12:H12,"8:30-"))*(8.5)+SUM(COUNTIF(B12:H12,"八潮R"))*(8.5)</f>
        <v>25.5</v>
      </c>
      <c r="K13" s="405"/>
    </row>
    <row r="14" spans="1:11" ht="13.5" customHeight="1" thickBot="1" x14ac:dyDescent="0.25">
      <c r="A14" s="401"/>
      <c r="B14" s="108"/>
      <c r="C14" s="106"/>
      <c r="D14" s="107"/>
      <c r="E14" s="108"/>
      <c r="F14" s="108"/>
      <c r="G14" s="108"/>
      <c r="H14" s="109"/>
      <c r="I14" s="403"/>
      <c r="J14" s="406"/>
      <c r="K14" s="407"/>
    </row>
    <row r="15" spans="1:11" s="12" customFormat="1" ht="14.25" customHeight="1" x14ac:dyDescent="0.2">
      <c r="A15" s="95" t="s">
        <v>0</v>
      </c>
      <c r="B15" s="111">
        <v>46181</v>
      </c>
      <c r="C15" s="111">
        <v>46182</v>
      </c>
      <c r="D15" s="111">
        <v>46183</v>
      </c>
      <c r="E15" s="111">
        <v>46184</v>
      </c>
      <c r="F15" s="111">
        <v>46185</v>
      </c>
      <c r="G15" s="111">
        <v>46186</v>
      </c>
      <c r="H15" s="111">
        <v>46187</v>
      </c>
      <c r="I15" s="112"/>
      <c r="J15" s="397" t="s">
        <v>174</v>
      </c>
      <c r="K15" s="398"/>
    </row>
    <row r="16" spans="1:11" s="100" customFormat="1" ht="14.25" customHeight="1" x14ac:dyDescent="0.2">
      <c r="A16" s="96" t="s">
        <v>3</v>
      </c>
      <c r="B16" s="98" t="s">
        <v>4</v>
      </c>
      <c r="C16" s="98" t="s">
        <v>5</v>
      </c>
      <c r="D16" s="98" t="s">
        <v>6</v>
      </c>
      <c r="E16" s="98" t="s">
        <v>7</v>
      </c>
      <c r="F16" s="98" t="s">
        <v>8</v>
      </c>
      <c r="G16" s="98" t="s">
        <v>9</v>
      </c>
      <c r="H16" s="99" t="s">
        <v>10</v>
      </c>
      <c r="I16" s="113"/>
      <c r="J16" s="244">
        <f>SUM(J19:K23)</f>
        <v>96</v>
      </c>
      <c r="K16" s="245" t="s">
        <v>176</v>
      </c>
    </row>
    <row r="17" spans="1:11" s="100" customFormat="1" ht="14.25" customHeight="1" x14ac:dyDescent="0.2">
      <c r="A17" s="114" t="s">
        <v>86</v>
      </c>
      <c r="B17" s="101">
        <v>6</v>
      </c>
      <c r="C17" s="98"/>
      <c r="D17" s="97"/>
      <c r="E17" s="101">
        <v>7</v>
      </c>
      <c r="F17" s="101">
        <v>7</v>
      </c>
      <c r="G17" s="101">
        <v>6</v>
      </c>
      <c r="H17" s="101">
        <v>6</v>
      </c>
      <c r="I17" s="102"/>
      <c r="J17" s="244">
        <f>SUM(J25,J24,J18)</f>
        <v>110.5</v>
      </c>
      <c r="K17" s="245" t="s">
        <v>175</v>
      </c>
    </row>
    <row r="18" spans="1:11" ht="13.5" customHeight="1" x14ac:dyDescent="0.2">
      <c r="A18" s="171" t="s">
        <v>157</v>
      </c>
      <c r="B18" s="34" t="s">
        <v>93</v>
      </c>
      <c r="C18" s="115"/>
      <c r="D18" s="103"/>
      <c r="E18" s="34" t="s">
        <v>93</v>
      </c>
      <c r="F18" s="34" t="s">
        <v>93</v>
      </c>
      <c r="G18" s="34" t="s">
        <v>93</v>
      </c>
      <c r="H18" s="34" t="s">
        <v>93</v>
      </c>
      <c r="I18" s="104">
        <f t="shared" ref="I18:I21" si="1">COUNTA(B18:H18)</f>
        <v>5</v>
      </c>
      <c r="J18" s="399">
        <f>SUM(COUNTIF(B18:H18,"8:30-"))*(8.5)</f>
        <v>42.5</v>
      </c>
      <c r="K18" s="399"/>
    </row>
    <row r="19" spans="1:11" ht="13.5" customHeight="1" x14ac:dyDescent="0.2">
      <c r="A19" s="224" t="s">
        <v>88</v>
      </c>
      <c r="B19" s="34" t="s">
        <v>89</v>
      </c>
      <c r="C19" s="90"/>
      <c r="D19" s="158"/>
      <c r="E19" s="34" t="s">
        <v>89</v>
      </c>
      <c r="F19" s="34" t="s">
        <v>89</v>
      </c>
      <c r="G19" s="34" t="s">
        <v>90</v>
      </c>
      <c r="H19" s="34" t="s">
        <v>89</v>
      </c>
      <c r="I19" s="105">
        <f t="shared" si="1"/>
        <v>5</v>
      </c>
      <c r="J19" s="399">
        <f>SUM(COUNTIF(B19:H19,"9-15"))*(5.5)+SUM(COUNTIF(B19:H19,"10-15"))*(4.5)+SUM(COUNTIF(B19:H19,"12-15"))*(3)+SUM(COUNTIF(B19:H19,"9-12"))*(3)+SUM(COUNTIF(B19:H19,"9-17"))*(7.25)+SUM(COUNTIF(B19:H19,"13-15"))*(2)</f>
        <v>29.25</v>
      </c>
      <c r="K19" s="399"/>
    </row>
    <row r="20" spans="1:11" ht="13.5" customHeight="1" x14ac:dyDescent="0.2">
      <c r="A20" s="225" t="s">
        <v>91</v>
      </c>
      <c r="B20" s="15" t="s">
        <v>58</v>
      </c>
      <c r="C20" s="159"/>
      <c r="D20" s="160"/>
      <c r="E20" s="15" t="s">
        <v>58</v>
      </c>
      <c r="F20" s="15" t="s">
        <v>58</v>
      </c>
      <c r="G20" s="15" t="s">
        <v>58</v>
      </c>
      <c r="H20" s="15"/>
      <c r="I20" s="104">
        <f t="shared" si="1"/>
        <v>4</v>
      </c>
      <c r="J20" s="399">
        <f>SUM(COUNTIF(B20:H20,"9-15"))*(5.5)+SUM(COUNTIF(B20:H20,"10-15"))*(4.5)+SUM(COUNTIF(B20:H20,"12-15"))*(3)+SUM(COUNTIF(B20:H20,"9-12"))*(3)+SUM(COUNTIF(B20:H20,"9-17"))*(7.25)+SUM(COUNTIF(B20:H20,"13-15"))*(2)+SUM(COUNTIF(B20:H20,"10-12"))*(2)</f>
        <v>12</v>
      </c>
      <c r="K20" s="399"/>
    </row>
    <row r="21" spans="1:11" ht="13.5" customHeight="1" x14ac:dyDescent="0.2">
      <c r="A21" s="171" t="s">
        <v>92</v>
      </c>
      <c r="B21" s="15" t="s">
        <v>18</v>
      </c>
      <c r="C21" s="159"/>
      <c r="D21" s="160"/>
      <c r="E21" s="15"/>
      <c r="F21" s="15" t="s">
        <v>18</v>
      </c>
      <c r="G21" s="15" t="s">
        <v>18</v>
      </c>
      <c r="H21" s="15" t="s">
        <v>18</v>
      </c>
      <c r="I21" s="104">
        <f t="shared" si="1"/>
        <v>4</v>
      </c>
      <c r="J21" s="399">
        <f>SUM(COUNTIF(B21:H21,"9-15"))*(5.5)+SUM(COUNTIF(B21:H21,"10-15"))*(4.5)+SUM(COUNTIF(B21:H21,"12-15"))*(3)+SUM(COUNTIF(B21:H21,"9-12"))*(3)+SUM(COUNTIF(B21:H21,"9-17"))*(7.25)+SUM(COUNTIF(B21:H21,"13-15"))*(2)+SUM(COUNTIF(B21:H21,"9-14"))*(4.5)+SUM(COUNTIF(B21:H21,"10-14"))*(4)</f>
        <v>18</v>
      </c>
      <c r="K21" s="399"/>
    </row>
    <row r="22" spans="1:11" ht="13.5" customHeight="1" x14ac:dyDescent="0.2">
      <c r="A22" s="171" t="s">
        <v>32</v>
      </c>
      <c r="B22" s="34" t="s">
        <v>49</v>
      </c>
      <c r="C22" s="158"/>
      <c r="D22" s="158"/>
      <c r="E22" s="34" t="s">
        <v>49</v>
      </c>
      <c r="F22" s="34" t="s">
        <v>49</v>
      </c>
      <c r="G22" s="34"/>
      <c r="H22" s="34" t="s">
        <v>18</v>
      </c>
      <c r="I22" s="104">
        <f>COUNTA(B22:H22)</f>
        <v>4</v>
      </c>
      <c r="J22" s="399">
        <f>SUM(COUNTIF(B22:H22,"9-15"))*(5.5)+SUM(COUNTIF(B22:H22,"10-15"))*(4.5)+SUM(COUNTIF(B22:H22,"12-15"))*(3)+SUM(COUNTIF(B22:H22,"9-12"))*(3)+SUM(COUNTIF(B22:H22,"9-17"))*(7.25)+SUM(COUNTIF(B22:H22,"13-15"))*(2)+SUM(COUNTIF(B22:H22,"9-14"))*(4.5)+SUM(COUNTIF(B22:H22,"10-14"))*(4)+SUM(COUNTIF(B22:H22,"9-16"))*(6.25)</f>
        <v>23.25</v>
      </c>
      <c r="K22" s="399"/>
    </row>
    <row r="23" spans="1:11" ht="13.5" customHeight="1" x14ac:dyDescent="0.2">
      <c r="A23" s="55" t="s">
        <v>144</v>
      </c>
      <c r="B23" s="34"/>
      <c r="C23" s="158"/>
      <c r="D23" s="158"/>
      <c r="E23" s="15" t="s">
        <v>18</v>
      </c>
      <c r="F23" s="15"/>
      <c r="G23" s="15" t="s">
        <v>18</v>
      </c>
      <c r="H23" s="15" t="s">
        <v>18</v>
      </c>
      <c r="I23" s="104">
        <f>COUNTA(B23:H23)</f>
        <v>3</v>
      </c>
      <c r="J23" s="399">
        <f>SUM(COUNTIF(B23:H23,"9-15"))*(5.5)+SUM(COUNTIF(B23:H23,"10-15"))*(4.5)+SUM(COUNTIF(B23:H23,"12-15"))*(3)+SUM(COUNTIF(B23:H23,"9-12"))*(3)+SUM(COUNTIF(B23:H23,"9-17"))*(7.25)+SUM(COUNTIF(B23:H23,"13-15"))*(2)+SUM(COUNTIF(B23:H23,"9-14"))*(4.5)+SUM(COUNTIF(B23:H23,"10-14"))*(4)</f>
        <v>13.5</v>
      </c>
      <c r="K23" s="399"/>
    </row>
    <row r="24" spans="1:11" ht="13.5" customHeight="1" thickBot="1" x14ac:dyDescent="0.25">
      <c r="A24" s="226" t="s">
        <v>147</v>
      </c>
      <c r="B24" s="247"/>
      <c r="C24" s="158"/>
      <c r="D24" s="158"/>
      <c r="E24" s="231" t="s">
        <v>93</v>
      </c>
      <c r="F24" s="199" t="s">
        <v>93</v>
      </c>
      <c r="G24" s="231" t="s">
        <v>93</v>
      </c>
      <c r="H24" s="231" t="s">
        <v>93</v>
      </c>
      <c r="I24" s="104">
        <f>COUNTA(B24:H24)</f>
        <v>4</v>
      </c>
      <c r="J24" s="399">
        <f>SUM(COUNTIF(B24:H24,"8:30-"))*(8.5)</f>
        <v>34</v>
      </c>
      <c r="K24" s="399"/>
    </row>
    <row r="25" spans="1:11" ht="13.5" customHeight="1" x14ac:dyDescent="0.2">
      <c r="A25" s="400" t="s">
        <v>158</v>
      </c>
      <c r="B25" s="34" t="s">
        <v>93</v>
      </c>
      <c r="C25" s="161"/>
      <c r="D25" s="161"/>
      <c r="E25" s="34" t="s">
        <v>93</v>
      </c>
      <c r="F25" s="34" t="s">
        <v>93</v>
      </c>
      <c r="G25" s="233" t="s">
        <v>87</v>
      </c>
      <c r="H25" s="233" t="s">
        <v>87</v>
      </c>
      <c r="I25" s="402"/>
      <c r="J25" s="404">
        <f>SUM(COUNTIF(B24:H24,"8:30-"))*(8.5)+SUM(COUNTIF(B24:H24,"八潮R"))*(8.5)</f>
        <v>34</v>
      </c>
      <c r="K25" s="405"/>
    </row>
    <row r="26" spans="1:11" ht="13.5" customHeight="1" thickBot="1" x14ac:dyDescent="0.25">
      <c r="A26" s="401"/>
      <c r="B26" s="108"/>
      <c r="C26" s="106"/>
      <c r="D26" s="107"/>
      <c r="E26" s="108"/>
      <c r="F26" s="108"/>
      <c r="G26" s="108"/>
      <c r="H26" s="109"/>
      <c r="I26" s="403"/>
      <c r="J26" s="406"/>
      <c r="K26" s="407"/>
    </row>
    <row r="27" spans="1:11" s="12" customFormat="1" ht="14.25" customHeight="1" x14ac:dyDescent="0.2">
      <c r="A27" s="95" t="s">
        <v>0</v>
      </c>
      <c r="B27" s="116">
        <v>46188</v>
      </c>
      <c r="C27" s="116">
        <v>46189</v>
      </c>
      <c r="D27" s="116">
        <v>46190</v>
      </c>
      <c r="E27" s="116">
        <v>46191</v>
      </c>
      <c r="F27" s="116">
        <v>46192</v>
      </c>
      <c r="G27" s="116">
        <v>46193</v>
      </c>
      <c r="H27" s="116">
        <v>46194</v>
      </c>
      <c r="I27" s="112"/>
      <c r="J27" s="397" t="s">
        <v>174</v>
      </c>
      <c r="K27" s="398"/>
    </row>
    <row r="28" spans="1:11" s="100" customFormat="1" ht="14.25" customHeight="1" x14ac:dyDescent="0.2">
      <c r="A28" s="96" t="s">
        <v>3</v>
      </c>
      <c r="B28" s="98" t="s">
        <v>4</v>
      </c>
      <c r="C28" s="98" t="s">
        <v>5</v>
      </c>
      <c r="D28" s="98" t="s">
        <v>6</v>
      </c>
      <c r="E28" s="98" t="s">
        <v>7</v>
      </c>
      <c r="F28" s="98" t="s">
        <v>8</v>
      </c>
      <c r="G28" s="98" t="s">
        <v>9</v>
      </c>
      <c r="H28" s="99" t="s">
        <v>10</v>
      </c>
      <c r="I28" s="113"/>
      <c r="J28" s="244">
        <f>SUM(J31:K35)</f>
        <v>95</v>
      </c>
      <c r="K28" s="245" t="s">
        <v>176</v>
      </c>
    </row>
    <row r="29" spans="1:11" s="84" customFormat="1" ht="14.25" customHeight="1" x14ac:dyDescent="0.2">
      <c r="A29" s="114" t="s">
        <v>94</v>
      </c>
      <c r="B29" s="101">
        <v>6</v>
      </c>
      <c r="C29" s="98"/>
      <c r="D29" s="97"/>
      <c r="E29" s="101">
        <v>7</v>
      </c>
      <c r="F29" s="101">
        <v>5</v>
      </c>
      <c r="G29" s="101">
        <v>6</v>
      </c>
      <c r="H29" s="101">
        <v>6</v>
      </c>
      <c r="I29" s="102"/>
      <c r="J29" s="244">
        <f>SUM(J37,J36,J30)</f>
        <v>85</v>
      </c>
      <c r="K29" s="245" t="s">
        <v>175</v>
      </c>
    </row>
    <row r="30" spans="1:11" ht="13.5" customHeight="1" x14ac:dyDescent="0.2">
      <c r="A30" s="171" t="s">
        <v>157</v>
      </c>
      <c r="B30" s="34" t="s">
        <v>93</v>
      </c>
      <c r="C30" s="115"/>
      <c r="D30" s="103"/>
      <c r="E30" s="56"/>
      <c r="F30" s="34" t="s">
        <v>93</v>
      </c>
      <c r="G30" s="34" t="s">
        <v>93</v>
      </c>
      <c r="H30" s="34" t="s">
        <v>93</v>
      </c>
      <c r="I30" s="104">
        <f t="shared" ref="I30:I33" si="2">COUNTA(B30:H30)</f>
        <v>4</v>
      </c>
      <c r="J30" s="399">
        <f>SUM(COUNTIF(B30:H30,"8:30-"))*(8.5)</f>
        <v>34</v>
      </c>
      <c r="K30" s="399"/>
    </row>
    <row r="31" spans="1:11" ht="13.5" customHeight="1" x14ac:dyDescent="0.2">
      <c r="A31" s="224" t="s">
        <v>88</v>
      </c>
      <c r="B31" s="34" t="s">
        <v>89</v>
      </c>
      <c r="C31" s="90"/>
      <c r="D31" s="158"/>
      <c r="E31" s="34" t="s">
        <v>89</v>
      </c>
      <c r="F31" s="56"/>
      <c r="G31" s="34" t="s">
        <v>90</v>
      </c>
      <c r="H31" s="34" t="s">
        <v>89</v>
      </c>
      <c r="I31" s="105">
        <f t="shared" si="2"/>
        <v>4</v>
      </c>
      <c r="J31" s="399">
        <f>SUM(COUNTIF(B31:H31,"9-15"))*(5.5)+SUM(COUNTIF(B31:H31,"10-15"))*(4.5)+SUM(COUNTIF(B31:H31,"12-15"))*(3)+SUM(COUNTIF(B31:H31,"9-12"))*(3)+SUM(COUNTIF(B31:H31,"9-17"))*(7.25)+SUM(COUNTIF(B31:H31,"13-15"))*(2)</f>
        <v>23.75</v>
      </c>
      <c r="K31" s="399"/>
    </row>
    <row r="32" spans="1:11" ht="13.5" customHeight="1" x14ac:dyDescent="0.2">
      <c r="A32" s="225" t="s">
        <v>91</v>
      </c>
      <c r="B32" s="15" t="s">
        <v>58</v>
      </c>
      <c r="C32" s="159"/>
      <c r="D32" s="160"/>
      <c r="E32" s="15" t="s">
        <v>58</v>
      </c>
      <c r="F32" s="15" t="s">
        <v>58</v>
      </c>
      <c r="G32" s="15" t="s">
        <v>58</v>
      </c>
      <c r="H32" s="15"/>
      <c r="I32" s="104">
        <f t="shared" si="2"/>
        <v>4</v>
      </c>
      <c r="J32" s="399">
        <f>SUM(COUNTIF(B32:H32,"9-15"))*(5.5)+SUM(COUNTIF(B32:H32,"10-15"))*(4.5)+SUM(COUNTIF(B32:H32,"12-15"))*(3)+SUM(COUNTIF(B32:H32,"9-12"))*(3)+SUM(COUNTIF(B32:H32,"9-17"))*(7.25)+SUM(COUNTIF(B32:H32,"13-15"))*(2)+SUM(COUNTIF(B32:H32,"10-12"))*(2)</f>
        <v>12</v>
      </c>
      <c r="K32" s="399"/>
    </row>
    <row r="33" spans="1:11" ht="13.5" customHeight="1" x14ac:dyDescent="0.2">
      <c r="A33" s="171" t="s">
        <v>92</v>
      </c>
      <c r="B33" s="15" t="s">
        <v>18</v>
      </c>
      <c r="C33" s="159"/>
      <c r="D33" s="160"/>
      <c r="E33" s="15" t="s">
        <v>18</v>
      </c>
      <c r="F33" s="15" t="s">
        <v>18</v>
      </c>
      <c r="G33" s="15" t="s">
        <v>18</v>
      </c>
      <c r="H33" s="15" t="s">
        <v>18</v>
      </c>
      <c r="I33" s="104">
        <f t="shared" si="2"/>
        <v>5</v>
      </c>
      <c r="J33" s="399">
        <f>SUM(COUNTIF(B33:H33,"9-15"))*(5.5)+SUM(COUNTIF(B33:H33,"10-15"))*(4.5)+SUM(COUNTIF(B33:H33,"12-15"))*(3)+SUM(COUNTIF(B33:H33,"9-12"))*(3)+SUM(COUNTIF(B33:H33,"9-17"))*(7.25)+SUM(COUNTIF(B33:H33,"13-15"))*(2)+SUM(COUNTIF(B33:H33,"9-14"))*(4.5)+SUM(COUNTIF(B33:H33,"10-14"))*(4)</f>
        <v>22.5</v>
      </c>
      <c r="K33" s="399"/>
    </row>
    <row r="34" spans="1:11" ht="13.5" customHeight="1" x14ac:dyDescent="0.2">
      <c r="A34" s="171" t="s">
        <v>32</v>
      </c>
      <c r="B34" s="34" t="s">
        <v>49</v>
      </c>
      <c r="C34" s="158"/>
      <c r="D34" s="158"/>
      <c r="E34" s="34" t="s">
        <v>49</v>
      </c>
      <c r="F34" s="34" t="s">
        <v>49</v>
      </c>
      <c r="G34" s="34"/>
      <c r="H34" s="34" t="s">
        <v>18</v>
      </c>
      <c r="I34" s="104">
        <f>COUNTA(B34:H34)</f>
        <v>4</v>
      </c>
      <c r="J34" s="399">
        <f>SUM(COUNTIF(B34:H34,"9-15"))*(5.5)+SUM(COUNTIF(B34:H34,"10-15"))*(4.5)+SUM(COUNTIF(B34:H34,"12-15"))*(3)+SUM(COUNTIF(B34:H34,"9-12"))*(3)+SUM(COUNTIF(B34:H34,"9-17"))*(7.25)+SUM(COUNTIF(B34:H34,"13-15"))*(2)+SUM(COUNTIF(B34:H34,"9-14"))*(4.5)+SUM(COUNTIF(B34:H34,"10-14"))*(4)+SUM(COUNTIF(B34:H34,"9-16"))*(6.25)</f>
        <v>23.25</v>
      </c>
      <c r="K34" s="399"/>
    </row>
    <row r="35" spans="1:11" ht="13.5" customHeight="1" x14ac:dyDescent="0.2">
      <c r="A35" s="55" t="s">
        <v>144</v>
      </c>
      <c r="B35" s="34"/>
      <c r="C35" s="158"/>
      <c r="D35" s="158"/>
      <c r="E35" s="15" t="s">
        <v>18</v>
      </c>
      <c r="F35" s="56"/>
      <c r="G35" s="15" t="s">
        <v>18</v>
      </c>
      <c r="H35" s="15" t="s">
        <v>18</v>
      </c>
      <c r="I35" s="104">
        <f>COUNTA(B35:H35)</f>
        <v>3</v>
      </c>
      <c r="J35" s="399">
        <f>SUM(COUNTIF(B35:H35,"9-15"))*(5.5)+SUM(COUNTIF(B35:H35,"10-15"))*(4.5)+SUM(COUNTIF(B35:H35,"12-15"))*(3)+SUM(COUNTIF(B35:H35,"9-12"))*(3)+SUM(COUNTIF(B35:H35,"9-17"))*(7.25)+SUM(COUNTIF(B35:H35,"13-15"))*(2)+SUM(COUNTIF(B35:H35,"9-14"))*(4.5)+SUM(COUNTIF(B35:H35,"10-14"))*(4)</f>
        <v>13.5</v>
      </c>
      <c r="K35" s="399"/>
    </row>
    <row r="36" spans="1:11" ht="13.5" customHeight="1" thickBot="1" x14ac:dyDescent="0.25">
      <c r="A36" s="226" t="s">
        <v>147</v>
      </c>
      <c r="B36" s="247"/>
      <c r="C36" s="248"/>
      <c r="D36" s="248"/>
      <c r="E36" s="199" t="s">
        <v>93</v>
      </c>
      <c r="F36" s="247"/>
      <c r="G36" s="231" t="s">
        <v>93</v>
      </c>
      <c r="H36" s="231" t="s">
        <v>93</v>
      </c>
      <c r="I36" s="104">
        <f>COUNTA(B36:H36)</f>
        <v>3</v>
      </c>
      <c r="J36" s="399">
        <f>SUM(COUNTIF(B36:H36,"8:30-"))*(8.5)</f>
        <v>25.5</v>
      </c>
      <c r="K36" s="399"/>
    </row>
    <row r="37" spans="1:11" ht="13.5" customHeight="1" x14ac:dyDescent="0.2">
      <c r="A37" s="400" t="s">
        <v>158</v>
      </c>
      <c r="B37" s="34" t="s">
        <v>93</v>
      </c>
      <c r="C37" s="158"/>
      <c r="D37" s="158"/>
      <c r="E37" s="34" t="s">
        <v>93</v>
      </c>
      <c r="F37" s="34" t="s">
        <v>93</v>
      </c>
      <c r="G37" s="233" t="s">
        <v>87</v>
      </c>
      <c r="H37" s="233" t="s">
        <v>87</v>
      </c>
      <c r="I37" s="402"/>
      <c r="J37" s="404">
        <f>SUM(COUNTIF(B36:H36,"8:30-"))*(8.5)+SUM(COUNTIF(B36:H36,"八潮R"))*(8.5)</f>
        <v>25.5</v>
      </c>
      <c r="K37" s="405"/>
    </row>
    <row r="38" spans="1:11" ht="13.5" customHeight="1" thickBot="1" x14ac:dyDescent="0.25">
      <c r="A38" s="401"/>
      <c r="B38" s="108"/>
      <c r="C38" s="106"/>
      <c r="D38" s="107"/>
      <c r="E38" s="108"/>
      <c r="F38" s="108"/>
      <c r="G38" s="108"/>
      <c r="H38" s="109"/>
      <c r="I38" s="403"/>
      <c r="J38" s="406"/>
      <c r="K38" s="407"/>
    </row>
    <row r="39" spans="1:11" s="12" customFormat="1" ht="14.25" customHeight="1" x14ac:dyDescent="0.2">
      <c r="A39" s="95" t="s">
        <v>0</v>
      </c>
      <c r="B39" s="116">
        <v>46195</v>
      </c>
      <c r="C39" s="116">
        <v>46196</v>
      </c>
      <c r="D39" s="116">
        <v>46197</v>
      </c>
      <c r="E39" s="116">
        <v>46198</v>
      </c>
      <c r="F39" s="116">
        <v>46199</v>
      </c>
      <c r="G39" s="116">
        <v>46200</v>
      </c>
      <c r="H39" s="116">
        <v>46201</v>
      </c>
      <c r="I39" s="112"/>
      <c r="J39" s="397" t="s">
        <v>174</v>
      </c>
      <c r="K39" s="398"/>
    </row>
    <row r="40" spans="1:11" s="100" customFormat="1" ht="14.25" customHeight="1" x14ac:dyDescent="0.2">
      <c r="A40" s="96" t="s">
        <v>3</v>
      </c>
      <c r="B40" s="98" t="s">
        <v>4</v>
      </c>
      <c r="C40" s="98" t="s">
        <v>5</v>
      </c>
      <c r="D40" s="98" t="s">
        <v>6</v>
      </c>
      <c r="E40" s="98" t="s">
        <v>7</v>
      </c>
      <c r="F40" s="98" t="s">
        <v>8</v>
      </c>
      <c r="G40" s="98" t="s">
        <v>9</v>
      </c>
      <c r="H40" s="99" t="s">
        <v>10</v>
      </c>
      <c r="I40" s="113"/>
      <c r="J40" s="244">
        <f>SUM(J43:K47)</f>
        <v>94.5</v>
      </c>
      <c r="K40" s="245" t="s">
        <v>176</v>
      </c>
    </row>
    <row r="41" spans="1:11" s="100" customFormat="1" ht="14.25" customHeight="1" x14ac:dyDescent="0.2">
      <c r="A41" s="114" t="s">
        <v>86</v>
      </c>
      <c r="B41" s="101">
        <v>7</v>
      </c>
      <c r="C41" s="98"/>
      <c r="D41" s="97"/>
      <c r="E41" s="101">
        <v>7</v>
      </c>
      <c r="F41" s="101">
        <v>7</v>
      </c>
      <c r="G41" s="101">
        <v>6</v>
      </c>
      <c r="H41" s="101">
        <v>6</v>
      </c>
      <c r="I41" s="102"/>
      <c r="J41" s="244">
        <f>SUM(J49,J48,J42)</f>
        <v>127.5</v>
      </c>
      <c r="K41" s="245" t="s">
        <v>175</v>
      </c>
    </row>
    <row r="42" spans="1:11" ht="13.5" customHeight="1" x14ac:dyDescent="0.2">
      <c r="A42" s="171" t="s">
        <v>157</v>
      </c>
      <c r="B42" s="34" t="s">
        <v>93</v>
      </c>
      <c r="C42" s="115"/>
      <c r="D42" s="103"/>
      <c r="E42" s="34" t="s">
        <v>93</v>
      </c>
      <c r="F42" s="34" t="s">
        <v>93</v>
      </c>
      <c r="G42" s="34" t="s">
        <v>93</v>
      </c>
      <c r="H42" s="34" t="s">
        <v>93</v>
      </c>
      <c r="I42" s="104">
        <f t="shared" ref="I42:I45" si="3">COUNTA(B42:H42)</f>
        <v>5</v>
      </c>
      <c r="J42" s="399">
        <f>SUM(COUNTIF(B42:H42,"8:30-"))*(8.5)</f>
        <v>42.5</v>
      </c>
      <c r="K42" s="399"/>
    </row>
    <row r="43" spans="1:11" ht="13.5" customHeight="1" x14ac:dyDescent="0.2">
      <c r="A43" s="224" t="s">
        <v>88</v>
      </c>
      <c r="B43" s="34" t="s">
        <v>89</v>
      </c>
      <c r="C43" s="90"/>
      <c r="D43" s="158"/>
      <c r="E43" s="34" t="s">
        <v>89</v>
      </c>
      <c r="F43" s="34" t="s">
        <v>89</v>
      </c>
      <c r="G43" s="34" t="s">
        <v>90</v>
      </c>
      <c r="H43" s="34" t="s">
        <v>89</v>
      </c>
      <c r="I43" s="105">
        <f t="shared" si="3"/>
        <v>5</v>
      </c>
      <c r="J43" s="399">
        <f>SUM(COUNTIF(B43:H43,"9-15"))*(5.5)+SUM(COUNTIF(B43:H43,"10-15"))*(4.5)+SUM(COUNTIF(B43:H43,"12-15"))*(3)+SUM(COUNTIF(B43:H43,"9-12"))*(3)+SUM(COUNTIF(B43:H43,"9-17"))*(7.25)+SUM(COUNTIF(B43:H43,"13-15"))*(2)</f>
        <v>29.25</v>
      </c>
      <c r="K43" s="399"/>
    </row>
    <row r="44" spans="1:11" ht="13.5" customHeight="1" x14ac:dyDescent="0.2">
      <c r="A44" s="225" t="s">
        <v>91</v>
      </c>
      <c r="B44" s="15" t="s">
        <v>58</v>
      </c>
      <c r="C44" s="159"/>
      <c r="D44" s="160"/>
      <c r="E44" s="15" t="s">
        <v>58</v>
      </c>
      <c r="F44" s="15" t="s">
        <v>58</v>
      </c>
      <c r="G44" s="15" t="s">
        <v>58</v>
      </c>
      <c r="H44" s="15" t="s">
        <v>58</v>
      </c>
      <c r="I44" s="104">
        <f t="shared" si="3"/>
        <v>5</v>
      </c>
      <c r="J44" s="399">
        <f>SUM(COUNTIF(B44:H44,"9-15"))*(5.5)+SUM(COUNTIF(B44:H44,"10-15"))*(4.5)+SUM(COUNTIF(B44:H44,"12-15"))*(3)+SUM(COUNTIF(B44:H44,"9-12"))*(3)+SUM(COUNTIF(B44:H44,"9-17"))*(7.25)+SUM(COUNTIF(B44:H44,"13-15"))*(2)+SUM(COUNTIF(B44:H44,"10-12"))*(2)</f>
        <v>15</v>
      </c>
      <c r="K44" s="399"/>
    </row>
    <row r="45" spans="1:11" ht="13.5" customHeight="1" x14ac:dyDescent="0.2">
      <c r="A45" s="171" t="s">
        <v>92</v>
      </c>
      <c r="B45" s="15" t="s">
        <v>18</v>
      </c>
      <c r="C45" s="159"/>
      <c r="D45" s="160"/>
      <c r="E45" s="15"/>
      <c r="F45" s="15" t="s">
        <v>18</v>
      </c>
      <c r="G45" s="15" t="s">
        <v>18</v>
      </c>
      <c r="H45" s="56"/>
      <c r="I45" s="104">
        <f t="shared" si="3"/>
        <v>3</v>
      </c>
      <c r="J45" s="399">
        <f>SUM(COUNTIF(B45:H45,"9-15"))*(5.5)+SUM(COUNTIF(B45:H45,"10-15"))*(4.5)+SUM(COUNTIF(B45:H45,"12-15"))*(3)+SUM(COUNTIF(B45:H45,"9-12"))*(3)+SUM(COUNTIF(B45:H45,"9-17"))*(7.25)+SUM(COUNTIF(B45:H45,"13-15"))*(2)+SUM(COUNTIF(B45:H45,"9-14"))*(4.5)+SUM(COUNTIF(B45:H45,"10-14"))*(4)</f>
        <v>13.5</v>
      </c>
      <c r="K45" s="399"/>
    </row>
    <row r="46" spans="1:11" ht="13.5" customHeight="1" x14ac:dyDescent="0.2">
      <c r="A46" s="171" t="s">
        <v>32</v>
      </c>
      <c r="B46" s="34" t="s">
        <v>49</v>
      </c>
      <c r="C46" s="158"/>
      <c r="D46" s="158"/>
      <c r="E46" s="34" t="s">
        <v>49</v>
      </c>
      <c r="F46" s="34" t="s">
        <v>49</v>
      </c>
      <c r="G46" s="34"/>
      <c r="H46" s="34" t="s">
        <v>18</v>
      </c>
      <c r="I46" s="104">
        <f>COUNTA(B46:H46)</f>
        <v>4</v>
      </c>
      <c r="J46" s="399">
        <f>SUM(COUNTIF(B46:H46,"9-15"))*(5.5)+SUM(COUNTIF(B46:H46,"10-15"))*(4.5)+SUM(COUNTIF(B46:H46,"12-15"))*(3)+SUM(COUNTIF(B46:H46,"9-12"))*(3)+SUM(COUNTIF(B46:H46,"9-17"))*(7.25)+SUM(COUNTIF(B46:H46,"13-15"))*(2)+SUM(COUNTIF(B46:H46,"9-14"))*(4.5)+SUM(COUNTIF(B46:H46,"10-14"))*(4)+SUM(COUNTIF(B46:H46,"9-16"))*(6.25)</f>
        <v>23.25</v>
      </c>
      <c r="K46" s="399"/>
    </row>
    <row r="47" spans="1:11" ht="13.5" customHeight="1" x14ac:dyDescent="0.2">
      <c r="A47" s="55" t="s">
        <v>144</v>
      </c>
      <c r="B47" s="34"/>
      <c r="C47" s="158"/>
      <c r="D47" s="158"/>
      <c r="E47" s="15" t="s">
        <v>18</v>
      </c>
      <c r="F47" s="15"/>
      <c r="G47" s="15" t="s">
        <v>18</v>
      </c>
      <c r="H47" s="15" t="s">
        <v>18</v>
      </c>
      <c r="I47" s="104">
        <f>COUNTA(B47:H47)</f>
        <v>3</v>
      </c>
      <c r="J47" s="399">
        <f>SUM(COUNTIF(B47:H47,"9-15"))*(5.5)+SUM(COUNTIF(B47:H47,"10-15"))*(4.5)+SUM(COUNTIF(B47:H47,"12-15"))*(3)+SUM(COUNTIF(B47:H47,"9-12"))*(3)+SUM(COUNTIF(B47:H47,"9-17"))*(7.25)+SUM(COUNTIF(B47:H47,"13-15"))*(2)+SUM(COUNTIF(B47:H47,"9-14"))*(4.5)+SUM(COUNTIF(B47:H47,"10-14"))*(4)</f>
        <v>13.5</v>
      </c>
      <c r="K47" s="399"/>
    </row>
    <row r="48" spans="1:11" ht="13.5" customHeight="1" thickBot="1" x14ac:dyDescent="0.25">
      <c r="A48" s="226" t="s">
        <v>147</v>
      </c>
      <c r="B48" s="199" t="s">
        <v>93</v>
      </c>
      <c r="C48" s="158"/>
      <c r="D48" s="158"/>
      <c r="E48" s="231" t="s">
        <v>93</v>
      </c>
      <c r="F48" s="199" t="s">
        <v>93</v>
      </c>
      <c r="G48" s="231" t="s">
        <v>93</v>
      </c>
      <c r="H48" s="231" t="s">
        <v>93</v>
      </c>
      <c r="I48" s="104">
        <f>COUNTA(B48:H48)</f>
        <v>5</v>
      </c>
      <c r="J48" s="399">
        <f>SUM(COUNTIF(B48:H48,"8:30-"))*(8.5)</f>
        <v>42.5</v>
      </c>
      <c r="K48" s="399"/>
    </row>
    <row r="49" spans="1:11" ht="13.5" customHeight="1" x14ac:dyDescent="0.2">
      <c r="A49" s="400" t="s">
        <v>158</v>
      </c>
      <c r="B49" s="34" t="s">
        <v>93</v>
      </c>
      <c r="C49" s="161"/>
      <c r="D49" s="161"/>
      <c r="E49" s="34" t="s">
        <v>93</v>
      </c>
      <c r="F49" s="34" t="s">
        <v>93</v>
      </c>
      <c r="G49" s="233" t="s">
        <v>87</v>
      </c>
      <c r="H49" s="233" t="s">
        <v>87</v>
      </c>
      <c r="I49" s="402"/>
      <c r="J49" s="404">
        <f>SUM(COUNTIF(B48:H48,"8:30-"))*(8.5)+SUM(COUNTIF(B48:H48,"八潮R"))*(8.5)</f>
        <v>42.5</v>
      </c>
      <c r="K49" s="405"/>
    </row>
    <row r="50" spans="1:11" ht="13.5" customHeight="1" thickBot="1" x14ac:dyDescent="0.25">
      <c r="A50" s="401"/>
      <c r="B50" s="108"/>
      <c r="C50" s="106"/>
      <c r="D50" s="107"/>
      <c r="E50" s="108"/>
      <c r="F50" s="108"/>
      <c r="G50" s="108"/>
      <c r="H50" s="109"/>
      <c r="I50" s="403"/>
      <c r="J50" s="406"/>
      <c r="K50" s="407"/>
    </row>
    <row r="51" spans="1:11" s="12" customFormat="1" ht="12.75" customHeight="1" x14ac:dyDescent="0.2">
      <c r="A51" s="110" t="s">
        <v>0</v>
      </c>
      <c r="B51" s="111">
        <v>46202</v>
      </c>
      <c r="C51" s="111">
        <v>46203</v>
      </c>
      <c r="D51" s="111"/>
      <c r="E51" s="111"/>
      <c r="F51" s="111"/>
      <c r="G51" s="111"/>
      <c r="H51" s="111"/>
      <c r="I51" s="112"/>
      <c r="J51" s="397" t="s">
        <v>174</v>
      </c>
      <c r="K51" s="398"/>
    </row>
    <row r="52" spans="1:11" s="100" customFormat="1" ht="12.75" customHeight="1" x14ac:dyDescent="0.2">
      <c r="A52" s="96" t="s">
        <v>3</v>
      </c>
      <c r="B52" s="98" t="s">
        <v>4</v>
      </c>
      <c r="C52" s="98" t="s">
        <v>5</v>
      </c>
      <c r="D52" s="98"/>
      <c r="E52" s="98"/>
      <c r="F52" s="98"/>
      <c r="G52" s="98"/>
      <c r="H52" s="99"/>
      <c r="I52" s="113"/>
      <c r="J52" s="244">
        <f>SUM(J55:K59)</f>
        <v>19.25</v>
      </c>
      <c r="K52" s="245" t="s">
        <v>176</v>
      </c>
    </row>
    <row r="53" spans="1:11" s="84" customFormat="1" ht="12.75" customHeight="1" x14ac:dyDescent="0.2">
      <c r="A53" s="114" t="s">
        <v>94</v>
      </c>
      <c r="B53" s="101">
        <v>7</v>
      </c>
      <c r="C53" s="98"/>
      <c r="D53" s="97"/>
      <c r="E53" s="97"/>
      <c r="F53" s="97"/>
      <c r="G53" s="97"/>
      <c r="H53" s="97"/>
      <c r="I53" s="102"/>
      <c r="J53" s="244">
        <f>SUM(J61,J60,J54)</f>
        <v>25.5</v>
      </c>
      <c r="K53" s="245" t="s">
        <v>175</v>
      </c>
    </row>
    <row r="54" spans="1:11" ht="13.5" customHeight="1" x14ac:dyDescent="0.2">
      <c r="A54" s="171" t="s">
        <v>157</v>
      </c>
      <c r="B54" s="34" t="s">
        <v>93</v>
      </c>
      <c r="C54" s="115"/>
      <c r="D54" s="103"/>
      <c r="E54" s="103"/>
      <c r="F54" s="103"/>
      <c r="G54" s="103"/>
      <c r="H54" s="103"/>
      <c r="I54" s="104">
        <f>COUNTA(B54:H54)</f>
        <v>1</v>
      </c>
      <c r="J54" s="399">
        <f>SUM(COUNTIF(B54:H54,"8:30-"))*(8.5)</f>
        <v>8.5</v>
      </c>
      <c r="K54" s="399"/>
    </row>
    <row r="55" spans="1:11" ht="13.5" customHeight="1" x14ac:dyDescent="0.2">
      <c r="A55" s="224" t="s">
        <v>88</v>
      </c>
      <c r="B55" s="34" t="s">
        <v>89</v>
      </c>
      <c r="C55" s="90"/>
      <c r="D55" s="158"/>
      <c r="E55" s="158"/>
      <c r="F55" s="158"/>
      <c r="G55" s="158"/>
      <c r="H55" s="158"/>
      <c r="I55" s="105">
        <f t="shared" ref="I55:I57" si="4">COUNTA(B55:H55)</f>
        <v>1</v>
      </c>
      <c r="J55" s="399">
        <f>SUM(COUNTIF(B55:H55,"9-15"))*(5.5)+SUM(COUNTIF(B55:H55,"10-15"))*(4.5)+SUM(COUNTIF(B55:H55,"12-15"))*(3)+SUM(COUNTIF(B55:H55,"9-12"))*(3)+SUM(COUNTIF(B55:H55,"9-17"))*(7.25)+SUM(COUNTIF(B55:H55,"13-15"))*(2)</f>
        <v>5.5</v>
      </c>
      <c r="K55" s="399"/>
    </row>
    <row r="56" spans="1:11" ht="13.5" customHeight="1" x14ac:dyDescent="0.2">
      <c r="A56" s="225" t="s">
        <v>91</v>
      </c>
      <c r="B56" s="15" t="s">
        <v>58</v>
      </c>
      <c r="C56" s="159"/>
      <c r="D56" s="160"/>
      <c r="E56" s="160"/>
      <c r="F56" s="160"/>
      <c r="G56" s="160"/>
      <c r="H56" s="160"/>
      <c r="I56" s="104">
        <f t="shared" si="4"/>
        <v>1</v>
      </c>
      <c r="J56" s="399">
        <f>SUM(COUNTIF(B56:H56,"9-15"))*(5.5)+SUM(COUNTIF(B56:H56,"10-15"))*(4.5)+SUM(COUNTIF(B56:H56,"12-15"))*(3)+SUM(COUNTIF(B56:H56,"9-12"))*(3)+SUM(COUNTIF(B56:H56,"9-17"))*(7.25)+SUM(COUNTIF(B56:H56,"13-15"))*(2)+SUM(COUNTIF(B56:H56,"10-12"))*(2)</f>
        <v>3</v>
      </c>
      <c r="K56" s="399"/>
    </row>
    <row r="57" spans="1:11" ht="13.5" customHeight="1" x14ac:dyDescent="0.2">
      <c r="A57" s="171" t="s">
        <v>92</v>
      </c>
      <c r="B57" s="15" t="s">
        <v>18</v>
      </c>
      <c r="C57" s="159"/>
      <c r="D57" s="160"/>
      <c r="E57" s="160"/>
      <c r="F57" s="160"/>
      <c r="G57" s="160"/>
      <c r="H57" s="160"/>
      <c r="I57" s="104">
        <f t="shared" si="4"/>
        <v>1</v>
      </c>
      <c r="J57" s="399">
        <f>SUM(COUNTIF(B57:H57,"9-15"))*(5.5)+SUM(COUNTIF(B57:H57,"10-15"))*(4.5)+SUM(COUNTIF(B57:H57,"12-15"))*(3)+SUM(COUNTIF(B57:H57,"9-12"))*(3)+SUM(COUNTIF(B57:H57,"9-17"))*(7.25)+SUM(COUNTIF(B57:H57,"13-15"))*(2)+SUM(COUNTIF(B57:H57,"9-14"))*(4.5)+SUM(COUNTIF(B57:H57,"10-14"))*(4)</f>
        <v>4.5</v>
      </c>
      <c r="K57" s="399"/>
    </row>
    <row r="58" spans="1:11" ht="13.5" customHeight="1" x14ac:dyDescent="0.2">
      <c r="A58" s="171" t="s">
        <v>32</v>
      </c>
      <c r="B58" s="34" t="s">
        <v>49</v>
      </c>
      <c r="C58" s="158"/>
      <c r="D58" s="158"/>
      <c r="E58" s="158"/>
      <c r="F58" s="158"/>
      <c r="G58" s="158"/>
      <c r="H58" s="158"/>
      <c r="I58" s="104">
        <f>COUNTA(B58:H58)</f>
        <v>1</v>
      </c>
      <c r="J58" s="399">
        <f>SUM(COUNTIF(B58:H58,"9-15"))*(5.5)+SUM(COUNTIF(B58:H58,"10-15"))*(4.5)+SUM(COUNTIF(B58:H58,"12-15"))*(3)+SUM(COUNTIF(B58:H58,"9-12"))*(3)+SUM(COUNTIF(B58:H58,"9-17"))*(7.25)+SUM(COUNTIF(B58:H58,"13-15"))*(2)+SUM(COUNTIF(B58:H58,"9-16"))*(6.25)+SUM(COUNTIF(B58:H58,"9-14"))*(4.5)</f>
        <v>6.25</v>
      </c>
      <c r="K58" s="399"/>
    </row>
    <row r="59" spans="1:11" ht="13.5" customHeight="1" x14ac:dyDescent="0.2">
      <c r="A59" s="55" t="s">
        <v>144</v>
      </c>
      <c r="B59" s="34"/>
      <c r="C59" s="158"/>
      <c r="D59" s="158"/>
      <c r="E59" s="158"/>
      <c r="F59" s="158"/>
      <c r="G59" s="158"/>
      <c r="H59" s="158"/>
      <c r="I59" s="104">
        <f>COUNTA(B59:H59)</f>
        <v>0</v>
      </c>
      <c r="J59" s="399">
        <f>SUM(COUNTIF(B59:H59,"9-15"))*(5.5)+SUM(COUNTIF(B59:H59,"10-15"))*(4.5)+SUM(COUNTIF(B59:H59,"12-15"))*(3)+SUM(COUNTIF(B59:H59,"9-12"))*(3)+SUM(COUNTIF(B59:H59,"9-17"))*(7.25)+SUM(COUNTIF(B59:H59,"13-15"))*(2)+SUM(COUNTIF(B59:H59,"9-14"))*(4.5)+SUM(COUNTIF(B59:H59,"10-14"))*(4)</f>
        <v>0</v>
      </c>
      <c r="K59" s="399"/>
    </row>
    <row r="60" spans="1:11" ht="13.5" customHeight="1" thickBot="1" x14ac:dyDescent="0.25">
      <c r="A60" s="226" t="s">
        <v>147</v>
      </c>
      <c r="B60" s="199" t="s">
        <v>93</v>
      </c>
      <c r="C60" s="158"/>
      <c r="D60" s="158"/>
      <c r="E60" s="158"/>
      <c r="F60" s="158"/>
      <c r="G60" s="158"/>
      <c r="H60" s="158"/>
      <c r="I60" s="104">
        <f>COUNTA(B60:H60)</f>
        <v>1</v>
      </c>
      <c r="J60" s="399">
        <f>SUM(COUNTIF(B60:H60,"8:30-"))*(8.5)</f>
        <v>8.5</v>
      </c>
      <c r="K60" s="399"/>
    </row>
    <row r="61" spans="1:11" ht="13.5" customHeight="1" x14ac:dyDescent="0.2">
      <c r="A61" s="400" t="s">
        <v>158</v>
      </c>
      <c r="B61" s="34" t="s">
        <v>93</v>
      </c>
      <c r="C61" s="161"/>
      <c r="D61" s="161"/>
      <c r="E61" s="161"/>
      <c r="F61" s="161"/>
      <c r="G61" s="161"/>
      <c r="H61" s="161"/>
      <c r="I61" s="402"/>
      <c r="J61" s="404">
        <f>SUM(COUNTIF(B60:H60,"8:30-"))*(8.5)+SUM(COUNTIF(B60:H60,"八潮R"))*(8.5)</f>
        <v>8.5</v>
      </c>
      <c r="K61" s="405"/>
    </row>
    <row r="62" spans="1:11" ht="13.5" customHeight="1" thickBot="1" x14ac:dyDescent="0.25">
      <c r="A62" s="401"/>
      <c r="B62" s="108"/>
      <c r="C62" s="106"/>
      <c r="D62" s="107"/>
      <c r="E62" s="107"/>
      <c r="F62" s="107"/>
      <c r="G62" s="107"/>
      <c r="H62" s="107"/>
      <c r="I62" s="403"/>
      <c r="J62" s="406"/>
      <c r="K62" s="407"/>
    </row>
    <row r="63" spans="1:11" ht="12.75" customHeight="1" x14ac:dyDescent="0.2">
      <c r="J63" s="315" t="s">
        <v>192</v>
      </c>
      <c r="K63" s="315"/>
    </row>
    <row r="64" spans="1:11" s="1" customFormat="1" x14ac:dyDescent="0.15">
      <c r="A64" s="391" t="s">
        <v>95</v>
      </c>
      <c r="B64" s="392"/>
      <c r="C64" s="392"/>
      <c r="D64" s="393"/>
      <c r="E64" s="193" t="s">
        <v>96</v>
      </c>
      <c r="F64" s="117"/>
      <c r="G64" s="13"/>
      <c r="H64" s="9"/>
      <c r="I64" s="9"/>
      <c r="J64" s="315"/>
      <c r="K64" s="315"/>
    </row>
    <row r="65" spans="1:14" s="1" customFormat="1" ht="15" customHeight="1" x14ac:dyDescent="0.15">
      <c r="A65" s="308" t="s">
        <v>122</v>
      </c>
      <c r="B65" s="309"/>
      <c r="C65" s="309"/>
      <c r="D65" s="310"/>
      <c r="E65" s="192" t="s">
        <v>121</v>
      </c>
      <c r="F65" s="188"/>
      <c r="G65" s="189"/>
      <c r="H65" s="189"/>
      <c r="I65" s="189"/>
      <c r="J65" s="189"/>
      <c r="K65" s="189"/>
      <c r="L65" s="189"/>
      <c r="M65" s="189"/>
      <c r="N65" s="189"/>
    </row>
    <row r="66" spans="1:14" s="1" customFormat="1" ht="15" customHeight="1" x14ac:dyDescent="0.15">
      <c r="A66" s="394" t="s">
        <v>123</v>
      </c>
      <c r="B66" s="395"/>
      <c r="C66" s="395"/>
      <c r="D66" s="396"/>
      <c r="E66" s="194" t="s">
        <v>124</v>
      </c>
      <c r="F66" s="190"/>
      <c r="G66" s="191"/>
      <c r="H66" s="191"/>
      <c r="I66" s="191"/>
      <c r="J66" s="191"/>
      <c r="K66" s="191"/>
      <c r="L66" s="191"/>
      <c r="M66" s="191"/>
      <c r="N66" s="191"/>
    </row>
  </sheetData>
  <mergeCells count="62">
    <mergeCell ref="A13:A14"/>
    <mergeCell ref="I13:I14"/>
    <mergeCell ref="J13:K14"/>
    <mergeCell ref="B1:G1"/>
    <mergeCell ref="H1:K1"/>
    <mergeCell ref="I3:I4"/>
    <mergeCell ref="J6:K6"/>
    <mergeCell ref="J7:K7"/>
    <mergeCell ref="J8:K8"/>
    <mergeCell ref="J9:K9"/>
    <mergeCell ref="J10:K10"/>
    <mergeCell ref="J11:K11"/>
    <mergeCell ref="J12:K12"/>
    <mergeCell ref="J18:K18"/>
    <mergeCell ref="J19:K19"/>
    <mergeCell ref="J20:K20"/>
    <mergeCell ref="J21:K21"/>
    <mergeCell ref="J22:K22"/>
    <mergeCell ref="J35:K35"/>
    <mergeCell ref="J23:K23"/>
    <mergeCell ref="J24:K24"/>
    <mergeCell ref="A25:A26"/>
    <mergeCell ref="I25:I26"/>
    <mergeCell ref="J25:K26"/>
    <mergeCell ref="J30:K30"/>
    <mergeCell ref="J31:K31"/>
    <mergeCell ref="J32:K32"/>
    <mergeCell ref="J33:K33"/>
    <mergeCell ref="J34:K34"/>
    <mergeCell ref="J48:K48"/>
    <mergeCell ref="J36:K36"/>
    <mergeCell ref="A37:A38"/>
    <mergeCell ref="I37:I38"/>
    <mergeCell ref="J37:K38"/>
    <mergeCell ref="J42:K42"/>
    <mergeCell ref="J43:K43"/>
    <mergeCell ref="J44:K44"/>
    <mergeCell ref="J45:K45"/>
    <mergeCell ref="J46:K46"/>
    <mergeCell ref="J47:K47"/>
    <mergeCell ref="A49:A50"/>
    <mergeCell ref="I49:I50"/>
    <mergeCell ref="J49:K50"/>
    <mergeCell ref="J54:K54"/>
    <mergeCell ref="J55:K55"/>
    <mergeCell ref="J51:K51"/>
    <mergeCell ref="J63:K64"/>
    <mergeCell ref="A64:D64"/>
    <mergeCell ref="A65:D65"/>
    <mergeCell ref="A66:D66"/>
    <mergeCell ref="J3:K3"/>
    <mergeCell ref="J15:K15"/>
    <mergeCell ref="J27:K27"/>
    <mergeCell ref="J39:K39"/>
    <mergeCell ref="J56:K56"/>
    <mergeCell ref="J57:K57"/>
    <mergeCell ref="J58:K58"/>
    <mergeCell ref="J59:K59"/>
    <mergeCell ref="J60:K60"/>
    <mergeCell ref="A61:A62"/>
    <mergeCell ref="I61:I62"/>
    <mergeCell ref="J61:K62"/>
  </mergeCells>
  <phoneticPr fontId="13"/>
  <pageMargins left="0.51181102362204722" right="0.51181102362204722" top="0.15748031496062992" bottom="0.15748031496062992" header="0.31496062992125984" footer="0.31496062992125984"/>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463AEA-E30C-49B1-9344-78679F5F3F3D}">
  <sheetPr>
    <tabColor theme="7" tint="0.59999389629810485"/>
    <pageSetUpPr fitToPage="1"/>
  </sheetPr>
  <dimension ref="A1:N52"/>
  <sheetViews>
    <sheetView zoomScale="90" zoomScaleNormal="90" workbookViewId="0">
      <selection activeCell="M23" sqref="M23"/>
    </sheetView>
  </sheetViews>
  <sheetFormatPr defaultColWidth="9" defaultRowHeight="20.100000000000001" customHeight="1" x14ac:dyDescent="0.2"/>
  <cols>
    <col min="1" max="1" width="11.88671875" style="1" customWidth="1"/>
    <col min="2" max="8" width="10.21875" style="13" customWidth="1"/>
    <col min="9" max="9" width="7.6640625" style="1" customWidth="1"/>
    <col min="10" max="10" width="9" style="1"/>
    <col min="11" max="11" width="3.109375" style="1" customWidth="1"/>
    <col min="12" max="16384" width="9" style="1"/>
  </cols>
  <sheetData>
    <row r="1" spans="1:11" ht="20.100000000000001" customHeight="1" thickBot="1" x14ac:dyDescent="0.25">
      <c r="A1" s="53" t="s">
        <v>56</v>
      </c>
      <c r="B1" s="251" t="s">
        <v>167</v>
      </c>
      <c r="C1" s="251"/>
      <c r="D1" s="251"/>
      <c r="E1" s="251"/>
      <c r="F1" s="251"/>
      <c r="H1" s="422" t="s">
        <v>77</v>
      </c>
      <c r="I1" s="423"/>
      <c r="J1" s="424"/>
      <c r="K1" s="425"/>
    </row>
    <row r="2" spans="1:11" ht="9.75" customHeight="1" x14ac:dyDescent="0.2">
      <c r="A2" s="44"/>
      <c r="B2" s="218"/>
      <c r="C2" s="218"/>
      <c r="D2" s="218"/>
      <c r="E2" s="218"/>
      <c r="F2" s="218"/>
      <c r="H2" s="220"/>
      <c r="I2" s="220"/>
      <c r="J2" s="221"/>
      <c r="K2" s="220"/>
    </row>
    <row r="3" spans="1:11" ht="19.5" customHeight="1" x14ac:dyDescent="0.2">
      <c r="A3" s="21" t="s">
        <v>0</v>
      </c>
      <c r="B3" s="22">
        <v>46174</v>
      </c>
      <c r="C3" s="22">
        <v>46175</v>
      </c>
      <c r="D3" s="22">
        <v>46176</v>
      </c>
      <c r="E3" s="22">
        <v>46177</v>
      </c>
      <c r="F3" s="22">
        <v>46178</v>
      </c>
      <c r="G3" s="22">
        <v>46179</v>
      </c>
      <c r="H3" s="22">
        <v>46180</v>
      </c>
      <c r="I3" s="426" t="s">
        <v>1</v>
      </c>
      <c r="J3" s="421" t="s">
        <v>2</v>
      </c>
      <c r="K3" s="421"/>
    </row>
    <row r="4" spans="1:11" ht="19.5" customHeight="1" x14ac:dyDescent="0.2">
      <c r="A4" s="21" t="s">
        <v>3</v>
      </c>
      <c r="B4" s="2" t="s">
        <v>4</v>
      </c>
      <c r="C4" s="20" t="s">
        <v>5</v>
      </c>
      <c r="D4" s="20" t="s">
        <v>6</v>
      </c>
      <c r="E4" s="2" t="s">
        <v>7</v>
      </c>
      <c r="F4" s="2" t="s">
        <v>8</v>
      </c>
      <c r="G4" s="2" t="s">
        <v>9</v>
      </c>
      <c r="H4" s="23" t="s">
        <v>10</v>
      </c>
      <c r="I4" s="419"/>
      <c r="J4" s="421"/>
      <c r="K4" s="421"/>
    </row>
    <row r="5" spans="1:11" ht="19.5" customHeight="1" x14ac:dyDescent="0.2">
      <c r="A5" s="16" t="s">
        <v>11</v>
      </c>
      <c r="B5" s="11"/>
      <c r="C5" s="2"/>
      <c r="D5" s="2"/>
      <c r="E5" s="11"/>
      <c r="F5" s="11"/>
      <c r="G5" s="11"/>
      <c r="H5" s="11"/>
      <c r="I5" s="5"/>
      <c r="J5" s="249"/>
      <c r="K5" s="250"/>
    </row>
    <row r="6" spans="1:11" ht="19.5" customHeight="1" x14ac:dyDescent="0.2">
      <c r="A6" s="19" t="s">
        <v>75</v>
      </c>
      <c r="B6" s="11" t="s">
        <v>18</v>
      </c>
      <c r="C6" s="24"/>
      <c r="D6" s="10"/>
      <c r="E6" s="11" t="s">
        <v>18</v>
      </c>
      <c r="F6" s="11"/>
      <c r="G6" s="11" t="s">
        <v>18</v>
      </c>
      <c r="H6" s="11" t="s">
        <v>18</v>
      </c>
      <c r="I6" s="5">
        <f>COUNTIFS(B6:H6,"&lt;&gt;空",B6:H6,"&lt;&gt;休",B6:H6,"&lt;&gt;調",B6:H6,"&lt;&gt;",B6:H6,"&lt;&gt;調整休")</f>
        <v>4</v>
      </c>
      <c r="J6" s="249">
        <f>SUM(COUNTIF(B6:H6,"9-19"))*(9)+(COUNTIF(B6:H6,"9-18"))*(8)+(COUNTIF(B6:H6,"9-17"))*(7.25)+(COUNTIF(B6:H6,"9-16"))*(6.25)+(COUNTIF(B6:H6,"9-15"))*(5.5)+(COUNTIF(B6:H6,"9-14"))*(4.5)+(COUNTIF(B6:H6,"9-13"))*(4)+(COUNTIF(B6:H6,"9-12"))*(3)+(COUNTIF(B6:H6,"9-11"))*(2)+(COUNTIF(B6:H6,"15-19"))*(4)+(COUNTIF(B6:H6,"14-19"))*(4.5)+(COUNTIF(B6:H6,"13-19"))*(5.5)+(COUNTIF(B6:H6,"13-18"))*(4.5)+(COUNTIF(B6:H6,"13:30-19"))*(5)+(COUNTIF(B6:H6,"16-19"))*(3)+(COUNTIF(B6:H6,"11-18"))*(6.25)+(COUNTIF(B6:H6,"11-19"))*(7)</f>
        <v>18</v>
      </c>
      <c r="K6" s="250"/>
    </row>
    <row r="7" spans="1:11" ht="19.5" customHeight="1" x14ac:dyDescent="0.2">
      <c r="A7" s="19" t="s">
        <v>83</v>
      </c>
      <c r="B7" s="11" t="s">
        <v>19</v>
      </c>
      <c r="C7" s="2"/>
      <c r="D7" s="10"/>
      <c r="E7" s="11" t="s">
        <v>19</v>
      </c>
      <c r="F7" s="11" t="s">
        <v>60</v>
      </c>
      <c r="G7" s="11"/>
      <c r="H7" s="11" t="s">
        <v>113</v>
      </c>
      <c r="I7" s="5">
        <f>COUNTIFS(B7:H7,"&lt;&gt;空",B7:H7,"&lt;&gt;休",B7:H7,"&lt;&gt;調",B7:H7,"&lt;&gt;",B7:H7,"&lt;&gt;調整休")</f>
        <v>4</v>
      </c>
      <c r="J7" s="249">
        <v>20.25</v>
      </c>
      <c r="K7" s="250"/>
    </row>
    <row r="8" spans="1:11" ht="19.5" customHeight="1" thickBot="1" x14ac:dyDescent="0.25">
      <c r="A8" s="19" t="s">
        <v>151</v>
      </c>
      <c r="B8" s="11" t="s">
        <v>19</v>
      </c>
      <c r="C8" s="2"/>
      <c r="D8" s="10"/>
      <c r="E8" s="11"/>
      <c r="F8" s="11" t="s">
        <v>19</v>
      </c>
      <c r="G8" s="11" t="s">
        <v>58</v>
      </c>
      <c r="H8" s="11" t="s">
        <v>19</v>
      </c>
      <c r="I8" s="5">
        <f>COUNTIFS(B8:H8,"&lt;&gt;空",B8:H8,"&lt;&gt;休",B8:H8,"&lt;&gt;調",B8:H8,"&lt;&gt;",B8:H8,"&lt;&gt;調整休")</f>
        <v>4</v>
      </c>
      <c r="J8" s="249">
        <f>SUM(COUNTIF(B8:H8,"9-19"))*(9)+(COUNTIF(B8:H8,"9-18"))*(8)+(COUNTIF(B8:H8,"9-17"))*(7.25)+(COUNTIF(B8:H8,"9-16"))*(6.25)+(COUNTIF(B8:H8,"9-15"))*(5.5)+(COUNTIF(B8:H8,"9-14"))*(4.5)+(COUNTIF(B8:H8,"9-13"))*(4)+(COUNTIF(B8:H8,"9-12"))*(3)+(COUNTIF(B8:H8,"9-11"))*(2)+(COUNTIF(B8:H8,"9:30-11:30,16-19"))*(5)+(COUNTIF(B8:H8,"15-19"))*(4)+(COUNTIF(B8:H8,"14-19"))*(4.5)+(COUNTIF(B8:H8,"13-19"))*(5.5)+(COUNTIF(B8:H8,"13-18"))*(4.5)+(COUNTIF(B8:H8,"13-17"))*(4)+(COUNTIF(B8:H8,"12-18"))*(5.5)+(COUNTIF(B8:H8,"13:30-19"))*(5)+(COUNTIF(B8:H8,"16-19"))*(3)+(COUNTIF(B8:H8,"11-18"))*(6.25)</f>
        <v>16.5</v>
      </c>
      <c r="K8" s="250"/>
    </row>
    <row r="9" spans="1:11" ht="19.5" customHeight="1" x14ac:dyDescent="0.2">
      <c r="A9" s="427" t="s">
        <v>76</v>
      </c>
      <c r="B9" s="213"/>
      <c r="C9" s="210"/>
      <c r="D9" s="211"/>
      <c r="E9" s="213"/>
      <c r="F9" s="196" t="s">
        <v>58</v>
      </c>
      <c r="G9" s="196"/>
      <c r="H9" s="209"/>
      <c r="I9" s="197"/>
      <c r="J9" s="414"/>
      <c r="K9" s="415"/>
    </row>
    <row r="10" spans="1:11" ht="19.5" customHeight="1" thickBot="1" x14ac:dyDescent="0.25">
      <c r="A10" s="428"/>
      <c r="B10" s="77"/>
      <c r="C10" s="198"/>
      <c r="D10" s="198"/>
      <c r="E10" s="186"/>
      <c r="F10" s="201"/>
      <c r="G10" s="77" t="s">
        <v>19</v>
      </c>
      <c r="H10" s="77"/>
      <c r="I10" s="200"/>
      <c r="J10" s="416"/>
      <c r="K10" s="417"/>
    </row>
    <row r="11" spans="1:11" ht="19.5" customHeight="1" x14ac:dyDescent="0.2">
      <c r="A11" s="29" t="s">
        <v>0</v>
      </c>
      <c r="B11" s="46">
        <v>46181</v>
      </c>
      <c r="C11" s="46">
        <v>46182</v>
      </c>
      <c r="D11" s="46">
        <v>46183</v>
      </c>
      <c r="E11" s="46">
        <v>46184</v>
      </c>
      <c r="F11" s="46">
        <v>46185</v>
      </c>
      <c r="G11" s="46">
        <v>46186</v>
      </c>
      <c r="H11" s="46">
        <v>46187</v>
      </c>
      <c r="I11" s="418" t="s">
        <v>1</v>
      </c>
      <c r="J11" s="420" t="s">
        <v>2</v>
      </c>
      <c r="K11" s="420"/>
    </row>
    <row r="12" spans="1:11" ht="19.5" customHeight="1" x14ac:dyDescent="0.2">
      <c r="A12" s="21" t="s">
        <v>3</v>
      </c>
      <c r="B12" s="2" t="s">
        <v>4</v>
      </c>
      <c r="C12" s="20" t="s">
        <v>5</v>
      </c>
      <c r="D12" s="20" t="s">
        <v>6</v>
      </c>
      <c r="E12" s="2" t="s">
        <v>7</v>
      </c>
      <c r="F12" s="2" t="s">
        <v>8</v>
      </c>
      <c r="G12" s="2" t="s">
        <v>9</v>
      </c>
      <c r="H12" s="23" t="s">
        <v>10</v>
      </c>
      <c r="I12" s="419"/>
      <c r="J12" s="421"/>
      <c r="K12" s="421"/>
    </row>
    <row r="13" spans="1:11" ht="19.5" customHeight="1" x14ac:dyDescent="0.2">
      <c r="A13" s="16" t="s">
        <v>12</v>
      </c>
      <c r="B13" s="11"/>
      <c r="C13" s="2"/>
      <c r="D13" s="2"/>
      <c r="E13" s="11"/>
      <c r="F13" s="11"/>
      <c r="G13" s="11"/>
      <c r="H13" s="11"/>
      <c r="I13" s="5"/>
      <c r="J13" s="249"/>
      <c r="K13" s="250"/>
    </row>
    <row r="14" spans="1:11" ht="19.5" customHeight="1" x14ac:dyDescent="0.2">
      <c r="A14" s="19" t="s">
        <v>75</v>
      </c>
      <c r="B14" s="11" t="s">
        <v>18</v>
      </c>
      <c r="C14" s="24"/>
      <c r="D14" s="10"/>
      <c r="E14" s="11" t="s">
        <v>18</v>
      </c>
      <c r="F14" s="11"/>
      <c r="G14" s="57"/>
      <c r="H14" s="11" t="s">
        <v>18</v>
      </c>
      <c r="I14" s="5">
        <f>COUNTIFS(B14:H14,"&lt;&gt;空",B14:H14,"&lt;&gt;休",B14:H14,"&lt;&gt;調",B14:H14,"&lt;&gt;",B14:H14,"&lt;&gt;調整休")</f>
        <v>3</v>
      </c>
      <c r="J14" s="249">
        <f>SUM(COUNTIF(B14:H14,"9-19"))*(9)+(COUNTIF(B14:H14,"9-18"))*(8)+(COUNTIF(B14:H14,"9-17"))*(7.25)+(COUNTIF(B14:H14,"9-16"))*(6.25)+(COUNTIF(B14:H14,"9-15"))*(5.5)+(COUNTIF(B14:H14,"9-14"))*(4.5)+(COUNTIF(B14:H14,"9-13"))*(4)+(COUNTIF(B14:H14,"9-12"))*(3)+(COUNTIF(B14:H14,"9-11"))*(2)+(COUNTIF(B14:H14,"15-19"))*(4)+(COUNTIF(B14:H14,"14-19"))*(4.5)+(COUNTIF(B14:H14,"13-19"))*(5.5)+(COUNTIF(B14:H14,"13-18"))*(4.5)+(COUNTIF(B14:H14,"13:30-19"))*(5)+(COUNTIF(B14:H14,"16-19"))*(3)+(COUNTIF(B14:H14,"11-18"))*(6.25)+(COUNTIF(B14:H14,"11-19"))*(7)</f>
        <v>13.5</v>
      </c>
      <c r="K14" s="250"/>
    </row>
    <row r="15" spans="1:11" ht="19.5" customHeight="1" x14ac:dyDescent="0.2">
      <c r="A15" s="19" t="s">
        <v>83</v>
      </c>
      <c r="B15" s="11" t="s">
        <v>19</v>
      </c>
      <c r="C15" s="2"/>
      <c r="D15" s="10"/>
      <c r="E15" s="11" t="s">
        <v>19</v>
      </c>
      <c r="F15" s="11" t="s">
        <v>143</v>
      </c>
      <c r="G15" s="11" t="s">
        <v>60</v>
      </c>
      <c r="H15" s="52"/>
      <c r="I15" s="5">
        <f>COUNTIFS(B15:H15,"&lt;&gt;空",B15:H15,"&lt;&gt;休",B15:H15,"&lt;&gt;調",B15:H15,"&lt;&gt;",B15:H15,"&lt;&gt;調整休")</f>
        <v>4</v>
      </c>
      <c r="J15" s="249">
        <v>16.5</v>
      </c>
      <c r="K15" s="250"/>
    </row>
    <row r="16" spans="1:11" ht="19.5" customHeight="1" thickBot="1" x14ac:dyDescent="0.25">
      <c r="A16" s="19" t="s">
        <v>151</v>
      </c>
      <c r="B16" s="11" t="s">
        <v>19</v>
      </c>
      <c r="C16" s="2"/>
      <c r="D16" s="10"/>
      <c r="E16" s="11"/>
      <c r="F16" s="11" t="s">
        <v>19</v>
      </c>
      <c r="G16" s="11" t="s">
        <v>58</v>
      </c>
      <c r="H16" s="11" t="s">
        <v>19</v>
      </c>
      <c r="I16" s="5">
        <f>COUNTIFS(B16:H16,"&lt;&gt;空",B16:H16,"&lt;&gt;休",B16:H16,"&lt;&gt;調",B16:H16,"&lt;&gt;",B16:H16,"&lt;&gt;調整休")</f>
        <v>4</v>
      </c>
      <c r="J16" s="249">
        <f>SUM(COUNTIF(B16:H16,"9-19"))*(9)+(COUNTIF(B16:H16,"9-18"))*(8)+(COUNTIF(B16:H16,"9-17"))*(7.25)+(COUNTIF(B16:H16,"9-16"))*(6.25)+(COUNTIF(B16:H16,"9-15"))*(5.5)+(COUNTIF(B16:H16,"9-14"))*(4.5)+(COUNTIF(B16:H16,"9-13"))*(4)+(COUNTIF(B16:H16,"9-12"))*(3)+(COUNTIF(B16:H16,"9-11"))*(2)+(COUNTIF(B16:H16,"9:30-11:30,16-19"))*(5)+(COUNTIF(B16:H16,"15-19"))*(4)+(COUNTIF(B16:H16,"14-19"))*(4.5)+(COUNTIF(B16:H16,"13-19"))*(5.5)+(COUNTIF(B16:H16,"13-18"))*(4.5)+(COUNTIF(B16:H16,"13-17"))*(4)+(COUNTIF(B16:H16,"12-18"))*(5.5)+(COUNTIF(B16:H16,"13:30-19"))*(5)+(COUNTIF(B16:H16,"16-19"))*(3)+(COUNTIF(B16:H16,"11-18"))*(6.25)</f>
        <v>16.5</v>
      </c>
      <c r="K16" s="250"/>
    </row>
    <row r="17" spans="1:11" ht="19.5" customHeight="1" x14ac:dyDescent="0.2">
      <c r="A17" s="367" t="s">
        <v>76</v>
      </c>
      <c r="B17" s="213"/>
      <c r="C17" s="210"/>
      <c r="D17" s="211"/>
      <c r="E17" s="213"/>
      <c r="F17" s="196" t="s">
        <v>58</v>
      </c>
      <c r="G17" s="196" t="s">
        <v>58</v>
      </c>
      <c r="H17" s="196"/>
      <c r="I17" s="197"/>
      <c r="J17" s="414"/>
      <c r="K17" s="415"/>
    </row>
    <row r="18" spans="1:11" ht="19.5" customHeight="1" thickBot="1" x14ac:dyDescent="0.25">
      <c r="A18" s="368"/>
      <c r="B18" s="77"/>
      <c r="C18" s="198"/>
      <c r="D18" s="198"/>
      <c r="E18" s="186"/>
      <c r="F18" s="201"/>
      <c r="G18" s="77" t="s">
        <v>55</v>
      </c>
      <c r="H18" s="77" t="s">
        <v>19</v>
      </c>
      <c r="I18" s="200"/>
      <c r="J18" s="416"/>
      <c r="K18" s="417"/>
    </row>
    <row r="19" spans="1:11" ht="19.5" customHeight="1" x14ac:dyDescent="0.2">
      <c r="A19" s="29" t="s">
        <v>0</v>
      </c>
      <c r="B19" s="22">
        <v>46188</v>
      </c>
      <c r="C19" s="22">
        <v>46189</v>
      </c>
      <c r="D19" s="22">
        <v>46190</v>
      </c>
      <c r="E19" s="22">
        <v>46191</v>
      </c>
      <c r="F19" s="22">
        <v>46192</v>
      </c>
      <c r="G19" s="22">
        <v>46193</v>
      </c>
      <c r="H19" s="22">
        <v>46194</v>
      </c>
      <c r="I19" s="418" t="s">
        <v>1</v>
      </c>
      <c r="J19" s="420" t="s">
        <v>2</v>
      </c>
      <c r="K19" s="420"/>
    </row>
    <row r="20" spans="1:11" ht="19.5" customHeight="1" x14ac:dyDescent="0.2">
      <c r="A20" s="21" t="s">
        <v>3</v>
      </c>
      <c r="B20" s="2" t="s">
        <v>4</v>
      </c>
      <c r="C20" s="20" t="s">
        <v>5</v>
      </c>
      <c r="D20" s="20" t="s">
        <v>6</v>
      </c>
      <c r="E20" s="2" t="s">
        <v>7</v>
      </c>
      <c r="F20" s="2" t="s">
        <v>8</v>
      </c>
      <c r="G20" s="2" t="s">
        <v>9</v>
      </c>
      <c r="H20" s="23" t="s">
        <v>10</v>
      </c>
      <c r="I20" s="419"/>
      <c r="J20" s="421"/>
      <c r="K20" s="421"/>
    </row>
    <row r="21" spans="1:11" ht="17.100000000000001" customHeight="1" x14ac:dyDescent="0.2">
      <c r="A21" s="16" t="s">
        <v>11</v>
      </c>
      <c r="B21" s="11"/>
      <c r="C21" s="2"/>
      <c r="D21" s="2"/>
      <c r="E21" s="11"/>
      <c r="F21" s="264" t="s">
        <v>50</v>
      </c>
      <c r="G21" s="264"/>
      <c r="H21" s="264"/>
      <c r="I21" s="177"/>
      <c r="J21" s="250"/>
      <c r="K21" s="250"/>
    </row>
    <row r="22" spans="1:11" ht="19.5" customHeight="1" x14ac:dyDescent="0.2">
      <c r="A22" s="19" t="s">
        <v>75</v>
      </c>
      <c r="B22" s="11" t="s">
        <v>18</v>
      </c>
      <c r="C22" s="24"/>
      <c r="D22" s="10"/>
      <c r="E22" s="11" t="s">
        <v>18</v>
      </c>
      <c r="F22" s="11"/>
      <c r="G22" s="11"/>
      <c r="H22" s="11" t="s">
        <v>18</v>
      </c>
      <c r="I22" s="5">
        <f>COUNTIFS(B22:H22,"&lt;&gt;空",B22:H22,"&lt;&gt;休",B22:H22,"&lt;&gt;調",B22:H22,"&lt;&gt;",B22:H22,"&lt;&gt;調整休")</f>
        <v>3</v>
      </c>
      <c r="J22" s="249">
        <f>SUM(COUNTIF(B22:H22,"9-19"))*(9)+(COUNTIF(B22:H22,"9-18"))*(8)+(COUNTIF(B22:H22,"9-17"))*(7.25)+(COUNTIF(B22:H22,"9-16"))*(6.25)+(COUNTIF(B22:H22,"9-15"))*(5.5)+(COUNTIF(B22:H22,"9-14"))*(4.5)+(COUNTIF(B22:H22,"9-13"))*(4)+(COUNTIF(B22:H22,"9-12"))*(3)+(COUNTIF(B22:H22,"9-11"))*(2)+(COUNTIF(B22:H22,"15-19"))*(4)+(COUNTIF(B22:H22,"14-19"))*(4.5)+(COUNTIF(B22:H22,"13-19"))*(5.5)+(COUNTIF(B22:H22,"13-18"))*(4.5)+(COUNTIF(B22:H22,"13:30-19"))*(5)+(COUNTIF(B22:H22,"16-19"))*(3)+(COUNTIF(B22:H22,"11-18"))*(6.25)+(COUNTIF(B22:H22,"11-19"))*(7)</f>
        <v>13.5</v>
      </c>
      <c r="K22" s="250"/>
    </row>
    <row r="23" spans="1:11" ht="19.5" customHeight="1" x14ac:dyDescent="0.2">
      <c r="A23" s="19" t="s">
        <v>83</v>
      </c>
      <c r="B23" s="11" t="s">
        <v>19</v>
      </c>
      <c r="C23" s="2"/>
      <c r="D23" s="10"/>
      <c r="E23" s="11" t="s">
        <v>19</v>
      </c>
      <c r="F23" s="11" t="s">
        <v>60</v>
      </c>
      <c r="G23" s="11" t="s">
        <v>60</v>
      </c>
      <c r="H23" s="11" t="s">
        <v>113</v>
      </c>
      <c r="I23" s="5">
        <f>COUNTIFS(B23:H23,"&lt;&gt;空",B23:H23,"&lt;&gt;休",B23:H23,"&lt;&gt;調",B23:H23,"&lt;&gt;",B23:H23,"&lt;&gt;調整休")</f>
        <v>5</v>
      </c>
      <c r="J23" s="249">
        <v>24.75</v>
      </c>
      <c r="K23" s="250"/>
    </row>
    <row r="24" spans="1:11" ht="19.5" customHeight="1" thickBot="1" x14ac:dyDescent="0.25">
      <c r="A24" s="19" t="s">
        <v>151</v>
      </c>
      <c r="B24" s="11" t="s">
        <v>19</v>
      </c>
      <c r="C24" s="2"/>
      <c r="D24" s="10"/>
      <c r="E24" s="11"/>
      <c r="F24" s="11" t="s">
        <v>19</v>
      </c>
      <c r="G24" s="11" t="s">
        <v>58</v>
      </c>
      <c r="H24" s="11" t="s">
        <v>19</v>
      </c>
      <c r="I24" s="5">
        <f>COUNTIFS(B24:H24,"&lt;&gt;空",B24:H24,"&lt;&gt;休",B24:H24,"&lt;&gt;調",B24:H24,"&lt;&gt;",B24:H24,"&lt;&gt;調整休")</f>
        <v>4</v>
      </c>
      <c r="J24" s="249">
        <f>SUM(COUNTIF(B24:H24,"9-19"))*(9)+(COUNTIF(B24:H24,"9-18"))*(8)+(COUNTIF(B24:H24,"9-17"))*(7.25)+(COUNTIF(B24:H24,"9-16"))*(6.25)+(COUNTIF(B24:H24,"9-15"))*(5.5)+(COUNTIF(B24:H24,"9-14"))*(4.5)+(COUNTIF(B24:H24,"9-13"))*(4)+(COUNTIF(B24:H24,"9-12"))*(3)+(COUNTIF(B24:H24,"9-11"))*(2)+(COUNTIF(B24:H24,"9:30-11:30,16-19"))*(5)+(COUNTIF(B24:H24,"15-19"))*(4)+(COUNTIF(B24:H24,"14-19"))*(4.5)+(COUNTIF(B24:H24,"13-19"))*(5.5)+(COUNTIF(B24:H24,"13-18"))*(4.5)+(COUNTIF(B24:H24,"13-17"))*(4)+(COUNTIF(B24:H24,"12-18"))*(5.5)+(COUNTIF(B24:H24,"13:30-19"))*(5)+(COUNTIF(B24:H24,"16-19"))*(3)+(COUNTIF(B24:H24,"11-18"))*(6.25)</f>
        <v>16.5</v>
      </c>
      <c r="K24" s="250"/>
    </row>
    <row r="25" spans="1:11" ht="19.5" customHeight="1" x14ac:dyDescent="0.2">
      <c r="A25" s="367" t="s">
        <v>76</v>
      </c>
      <c r="B25" s="213"/>
      <c r="C25" s="210"/>
      <c r="D25" s="211"/>
      <c r="E25" s="213"/>
      <c r="F25" s="196" t="s">
        <v>58</v>
      </c>
      <c r="G25" s="337" t="s">
        <v>61</v>
      </c>
      <c r="H25" s="196"/>
      <c r="I25" s="197"/>
      <c r="J25" s="414"/>
      <c r="K25" s="415"/>
    </row>
    <row r="26" spans="1:11" ht="19.5" customHeight="1" thickBot="1" x14ac:dyDescent="0.25">
      <c r="A26" s="368"/>
      <c r="B26" s="77"/>
      <c r="C26" s="198"/>
      <c r="D26" s="198"/>
      <c r="E26" s="186"/>
      <c r="F26" s="201"/>
      <c r="G26" s="338"/>
      <c r="H26" s="77"/>
      <c r="I26" s="200"/>
      <c r="J26" s="416"/>
      <c r="K26" s="417"/>
    </row>
    <row r="27" spans="1:11" ht="19.5" customHeight="1" x14ac:dyDescent="0.2">
      <c r="A27" s="29" t="s">
        <v>0</v>
      </c>
      <c r="B27" s="60">
        <v>46195</v>
      </c>
      <c r="C27" s="60">
        <v>46196</v>
      </c>
      <c r="D27" s="60">
        <v>46197</v>
      </c>
      <c r="E27" s="60">
        <v>46198</v>
      </c>
      <c r="F27" s="60">
        <v>46199</v>
      </c>
      <c r="G27" s="60">
        <v>46200</v>
      </c>
      <c r="H27" s="60">
        <v>46201</v>
      </c>
      <c r="I27" s="418" t="s">
        <v>1</v>
      </c>
      <c r="J27" s="420" t="s">
        <v>2</v>
      </c>
      <c r="K27" s="420"/>
    </row>
    <row r="28" spans="1:11" ht="19.5" customHeight="1" x14ac:dyDescent="0.2">
      <c r="A28" s="21" t="s">
        <v>3</v>
      </c>
      <c r="B28" s="2" t="s">
        <v>4</v>
      </c>
      <c r="C28" s="20" t="s">
        <v>5</v>
      </c>
      <c r="D28" s="20" t="s">
        <v>6</v>
      </c>
      <c r="E28" s="2" t="s">
        <v>7</v>
      </c>
      <c r="F28" s="2" t="s">
        <v>8</v>
      </c>
      <c r="G28" s="2" t="s">
        <v>9</v>
      </c>
      <c r="H28" s="23" t="s">
        <v>10</v>
      </c>
      <c r="I28" s="419"/>
      <c r="J28" s="421"/>
      <c r="K28" s="421"/>
    </row>
    <row r="29" spans="1:11" ht="19.5" customHeight="1" x14ac:dyDescent="0.2">
      <c r="A29" s="16" t="s">
        <v>12</v>
      </c>
      <c r="B29" s="11"/>
      <c r="C29" s="2"/>
      <c r="D29" s="2"/>
      <c r="E29" s="11"/>
      <c r="F29" s="11"/>
      <c r="G29" s="11"/>
      <c r="H29" s="11"/>
      <c r="I29" s="5"/>
      <c r="J29" s="249"/>
      <c r="K29" s="250"/>
    </row>
    <row r="30" spans="1:11" ht="19.5" customHeight="1" x14ac:dyDescent="0.2">
      <c r="A30" s="19" t="s">
        <v>75</v>
      </c>
      <c r="B30" s="11" t="s">
        <v>18</v>
      </c>
      <c r="C30" s="24"/>
      <c r="D30" s="10"/>
      <c r="E30" s="11" t="s">
        <v>18</v>
      </c>
      <c r="F30" s="57"/>
      <c r="G30" s="57"/>
      <c r="H30" s="52"/>
      <c r="I30" s="5">
        <f>COUNTIFS(B30:H30,"&lt;&gt;空",B30:H30,"&lt;&gt;休",B30:H30,"&lt;&gt;調",B30:H30,"&lt;&gt;",B30:H30,"&lt;&gt;調整休")</f>
        <v>2</v>
      </c>
      <c r="J30" s="249">
        <f>SUM(COUNTIF(B30:H30,"9-19"))*(9)+(COUNTIF(B30:H30,"9-18"))*(8)+(COUNTIF(B30:H30,"9-17"))*(7.25)+(COUNTIF(B30:H30,"9-16"))*(6.25)+(COUNTIF(B30:H30,"9-15"))*(5.5)+(COUNTIF(B30:H30,"9-14"))*(4.5)+(COUNTIF(B30:H30,"9-13"))*(4)+(COUNTIF(B30:H30,"9-12"))*(3)+(COUNTIF(B30:H30,"9-11"))*(2)+(COUNTIF(B30:H30,"15-19"))*(4)+(COUNTIF(B30:H30,"14-19"))*(4.5)+(COUNTIF(B30:H30,"13-19"))*(5.5)+(COUNTIF(B30:H30,"13-18"))*(4.5)+(COUNTIF(B30:H30,"13:30-19"))*(5)+(COUNTIF(B30:H30,"16-19"))*(3)+(COUNTIF(B30:H30,"11-18"))*(6.25)+(COUNTIF(B30:H30,"11-19"))*(7)</f>
        <v>9</v>
      </c>
      <c r="K30" s="250"/>
    </row>
    <row r="31" spans="1:11" ht="19.5" customHeight="1" x14ac:dyDescent="0.2">
      <c r="A31" s="19" t="s">
        <v>83</v>
      </c>
      <c r="B31" s="52"/>
      <c r="C31" s="2"/>
      <c r="D31" s="10"/>
      <c r="E31" s="11" t="s">
        <v>19</v>
      </c>
      <c r="F31" s="11" t="s">
        <v>60</v>
      </c>
      <c r="G31" s="11"/>
      <c r="H31" s="11" t="s">
        <v>113</v>
      </c>
      <c r="I31" s="5">
        <f>COUNTIFS(B31:H31,"&lt;&gt;空",B31:H31,"&lt;&gt;休",B31:H31,"&lt;&gt;調",B31:H31,"&lt;&gt;",B31:H31,"&lt;&gt;調整休")</f>
        <v>3</v>
      </c>
      <c r="J31" s="249">
        <v>19.5</v>
      </c>
      <c r="K31" s="250"/>
    </row>
    <row r="32" spans="1:11" ht="19.5" customHeight="1" thickBot="1" x14ac:dyDescent="0.25">
      <c r="A32" s="19" t="s">
        <v>151</v>
      </c>
      <c r="B32" s="11" t="s">
        <v>19</v>
      </c>
      <c r="C32" s="2"/>
      <c r="D32" s="10"/>
      <c r="E32" s="11"/>
      <c r="F32" s="11" t="s">
        <v>19</v>
      </c>
      <c r="G32" s="11" t="s">
        <v>58</v>
      </c>
      <c r="H32" s="11" t="s">
        <v>19</v>
      </c>
      <c r="I32" s="5">
        <f>COUNTIFS(B32:H32,"&lt;&gt;空",B32:H32,"&lt;&gt;休",B32:H32,"&lt;&gt;調",B32:H32,"&lt;&gt;",B32:H32,"&lt;&gt;調整休")</f>
        <v>4</v>
      </c>
      <c r="J32" s="249">
        <f>SUM(COUNTIF(B32:H32,"9-19"))*(9)+(COUNTIF(B32:H32,"9-18"))*(8)+(COUNTIF(B32:H32,"9-17"))*(7.25)+(COUNTIF(B32:H32,"9-16"))*(6.25)+(COUNTIF(B32:H32,"9-15"))*(5.5)+(COUNTIF(B32:H32,"9-14"))*(4.5)+(COUNTIF(B32:H32,"9-13"))*(4)+(COUNTIF(B32:H32,"9-12"))*(3)+(COUNTIF(B32:H32,"9-11"))*(2)+(COUNTIF(B32:H32,"9:30-11:30,16-19"))*(5)+(COUNTIF(B32:H32,"15-19"))*(4)+(COUNTIF(B32:H32,"14-19"))*(4.5)+(COUNTIF(B32:H32,"13-19"))*(5.5)+(COUNTIF(B32:H32,"13-18"))*(4.5)+(COUNTIF(B32:H32,"13-17"))*(4)+(COUNTIF(B32:H32,"12-18"))*(5.5)+(COUNTIF(B32:H32,"13:30-19"))*(5)+(COUNTIF(B32:H32,"16-19"))*(3)+(COUNTIF(B32:H32,"11-18"))*(6.25)</f>
        <v>16.5</v>
      </c>
      <c r="K32" s="250"/>
    </row>
    <row r="33" spans="1:14" ht="19.5" customHeight="1" x14ac:dyDescent="0.2">
      <c r="A33" s="367" t="s">
        <v>76</v>
      </c>
      <c r="B33" s="337" t="s">
        <v>61</v>
      </c>
      <c r="C33" s="210"/>
      <c r="D33" s="211"/>
      <c r="E33" s="213"/>
      <c r="F33" s="196" t="s">
        <v>58</v>
      </c>
      <c r="G33" s="337" t="s">
        <v>61</v>
      </c>
      <c r="H33" s="196" t="s">
        <v>58</v>
      </c>
      <c r="I33" s="197"/>
      <c r="J33" s="414"/>
      <c r="K33" s="415"/>
    </row>
    <row r="34" spans="1:14" ht="19.5" customHeight="1" thickBot="1" x14ac:dyDescent="0.25">
      <c r="A34" s="368"/>
      <c r="B34" s="338"/>
      <c r="C34" s="198"/>
      <c r="D34" s="198"/>
      <c r="E34" s="186"/>
      <c r="F34" s="201"/>
      <c r="G34" s="338"/>
      <c r="H34" s="77"/>
      <c r="I34" s="200"/>
      <c r="J34" s="416"/>
      <c r="K34" s="417"/>
    </row>
    <row r="35" spans="1:14" ht="19.5" customHeight="1" x14ac:dyDescent="0.2">
      <c r="A35" s="29" t="s">
        <v>0</v>
      </c>
      <c r="B35" s="22">
        <v>46202</v>
      </c>
      <c r="C35" s="22">
        <v>46203</v>
      </c>
      <c r="D35" s="22"/>
      <c r="E35" s="22"/>
      <c r="F35" s="22"/>
      <c r="G35" s="22"/>
      <c r="H35" s="22"/>
      <c r="I35" s="418" t="s">
        <v>1</v>
      </c>
      <c r="J35" s="420" t="s">
        <v>2</v>
      </c>
      <c r="K35" s="420"/>
    </row>
    <row r="36" spans="1:14" ht="19.5" customHeight="1" x14ac:dyDescent="0.2">
      <c r="A36" s="21" t="s">
        <v>3</v>
      </c>
      <c r="B36" s="2" t="s">
        <v>4</v>
      </c>
      <c r="C36" s="174" t="s">
        <v>5</v>
      </c>
      <c r="D36" s="174"/>
      <c r="E36" s="2"/>
      <c r="F36" s="2"/>
      <c r="G36" s="2"/>
      <c r="H36" s="23"/>
      <c r="I36" s="419"/>
      <c r="J36" s="421"/>
      <c r="K36" s="421"/>
    </row>
    <row r="37" spans="1:14" ht="17.100000000000001" customHeight="1" x14ac:dyDescent="0.2">
      <c r="A37" s="16" t="s">
        <v>11</v>
      </c>
      <c r="B37" s="11"/>
      <c r="C37" s="2"/>
      <c r="D37" s="2"/>
      <c r="E37" s="2"/>
      <c r="F37" s="2"/>
      <c r="G37" s="2"/>
      <c r="H37" s="2"/>
      <c r="I37" s="177"/>
      <c r="J37" s="250"/>
      <c r="K37" s="250"/>
    </row>
    <row r="38" spans="1:14" ht="19.5" customHeight="1" x14ac:dyDescent="0.2">
      <c r="A38" s="19" t="s">
        <v>75</v>
      </c>
      <c r="B38" s="11" t="s">
        <v>18</v>
      </c>
      <c r="C38" s="24"/>
      <c r="D38" s="10"/>
      <c r="E38" s="10"/>
      <c r="F38" s="10"/>
      <c r="G38" s="10"/>
      <c r="H38" s="10"/>
      <c r="I38" s="5">
        <f>COUNTIFS(B38:H38,"&lt;&gt;空",B38:H38,"&lt;&gt;休",B38:H38,"&lt;&gt;調",B38:H38,"&lt;&gt;",B38:H38,"&lt;&gt;調整休")</f>
        <v>1</v>
      </c>
      <c r="J38" s="249">
        <f>SUM(COUNTIF(B38:H38,"9-19"))*(9)+(COUNTIF(B38:H38,"9-18"))*(8)+(COUNTIF(B38:H38,"9-17"))*(7.25)+(COUNTIF(B38:H38,"9-16"))*(6.25)+(COUNTIF(B38:H38,"9-15"))*(5.5)+(COUNTIF(B38:H38,"9-14"))*(4.5)+(COUNTIF(B38:H38,"9-13"))*(4)+(COUNTIF(B38:H38,"9-12"))*(3)+(COUNTIF(B38:H38,"9-11"))*(2)+(COUNTIF(B38:H38,"15-19"))*(4)+(COUNTIF(B38:H38,"14-19"))*(4.5)+(COUNTIF(B38:H38,"13-19"))*(5.5)+(COUNTIF(B38:H38,"13-18"))*(4.5)+(COUNTIF(B38:H38,"13:30-19"))*(5)+(COUNTIF(B38:H38,"16-19"))*(3)+(COUNTIF(B38:H38,"11-18"))*(6.25)+(COUNTIF(B38:H38,"11-19"))*(7)</f>
        <v>4.5</v>
      </c>
      <c r="K38" s="250"/>
    </row>
    <row r="39" spans="1:14" ht="19.5" customHeight="1" x14ac:dyDescent="0.2">
      <c r="A39" s="19" t="s">
        <v>83</v>
      </c>
      <c r="B39" s="11" t="s">
        <v>19</v>
      </c>
      <c r="C39" s="2"/>
      <c r="D39" s="10"/>
      <c r="E39" s="10"/>
      <c r="F39" s="10"/>
      <c r="G39" s="10"/>
      <c r="H39" s="10"/>
      <c r="I39" s="5">
        <f>COUNTIFS(B39:H39,"&lt;&gt;空",B39:H39,"&lt;&gt;休",B39:H39,"&lt;&gt;調",B39:H39,"&lt;&gt;",B39:H39,"&lt;&gt;調整休")</f>
        <v>1</v>
      </c>
      <c r="J39" s="249">
        <f>SUM(COUNTIF(B39:H39,"9-19"))*(9)+(COUNTIF(B39:H39,"9-18"))*(8)+(COUNTIF(B39:H39,"9-17"))*(7.25)+(COUNTIF(B39:H39,"9-16"))*(6.25)+(COUNTIF(B39:H39,"9-15"))*(5.5)+(COUNTIF(B39:H39,"9-14"))*(4.5)+(COUNTIF(B39:H39,"9-13"))*(4)+(COUNTIF(B39:H39,"9-12"))*(3)+(COUNTIF(B39:H39,"9-11"))*(2)+(COUNTIF(B39:H39,"15-19"))*(4)+(COUNTIF(B39:H39,"14-19"))*(4.5)+(COUNTIF(B39:H39,"13-19"))*(5.5)+(COUNTIF(B39:H39,"13-18"))*(4.5)+(COUNTIF(B39:H39,"13:30-19"))*(5)+(COUNTIF(B39:H39,"16-19"))*(3)+(COUNTIF(B39:H39,"11-18"))*(6.25)+(COUNTIF(B39:H39,"11-19"))*(7)</f>
        <v>4.5</v>
      </c>
      <c r="K39" s="250"/>
    </row>
    <row r="40" spans="1:14" ht="19.5" customHeight="1" thickBot="1" x14ac:dyDescent="0.25">
      <c r="A40" s="19" t="s">
        <v>151</v>
      </c>
      <c r="B40" s="11" t="s">
        <v>19</v>
      </c>
      <c r="C40" s="2"/>
      <c r="D40" s="10"/>
      <c r="E40" s="10"/>
      <c r="F40" s="10"/>
      <c r="G40" s="10"/>
      <c r="H40" s="10"/>
      <c r="I40" s="5">
        <f>COUNTIFS(B40:H40,"&lt;&gt;空",B40:H40,"&lt;&gt;休",B40:H40,"&lt;&gt;調",B40:H40,"&lt;&gt;",B40:H40,"&lt;&gt;調整休")</f>
        <v>1</v>
      </c>
      <c r="J40" s="249">
        <f>SUM(COUNTIF(B40:H40,"9-19"))*(9)+(COUNTIF(B40:H40,"9-18"))*(8)+(COUNTIF(B40:H40,"9-17"))*(7.25)+(COUNTIF(B40:H40,"9-16"))*(6.25)+(COUNTIF(B40:H40,"9-15"))*(5.5)+(COUNTIF(B40:H40,"9-14"))*(4.5)+(COUNTIF(B40:H40,"9-13"))*(4)+(COUNTIF(B40:H40,"9-12"))*(3)+(COUNTIF(B40:H40,"9-11"))*(2)+(COUNTIF(B40:H40,"9:30-11:30,16-19"))*(5)+(COUNTIF(B40:H40,"15-19"))*(4)+(COUNTIF(B40:H40,"14-19"))*(4.5)+(COUNTIF(B40:H40,"13-19"))*(5.5)+(COUNTIF(B40:H40,"13-18"))*(4.5)+(COUNTIF(B40:H40,"13-17"))*(4)+(COUNTIF(B40:H40,"12-18"))*(5.5)+(COUNTIF(B40:H40,"13:30-19"))*(5)+(COUNTIF(B40:H40,"16-19"))*(3)+(COUNTIF(B40:H40,"11-18"))*(6.25)</f>
        <v>4.5</v>
      </c>
      <c r="K40" s="250"/>
    </row>
    <row r="41" spans="1:14" ht="19.5" customHeight="1" x14ac:dyDescent="0.2">
      <c r="A41" s="367" t="s">
        <v>76</v>
      </c>
      <c r="B41" s="213"/>
      <c r="C41" s="210"/>
      <c r="D41" s="211"/>
      <c r="E41" s="211"/>
      <c r="F41" s="211"/>
      <c r="G41" s="211"/>
      <c r="H41" s="211"/>
      <c r="I41" s="197"/>
      <c r="J41" s="414"/>
      <c r="K41" s="415"/>
    </row>
    <row r="42" spans="1:14" ht="19.5" customHeight="1" thickBot="1" x14ac:dyDescent="0.25">
      <c r="A42" s="368"/>
      <c r="B42" s="77"/>
      <c r="C42" s="198"/>
      <c r="D42" s="198"/>
      <c r="E42" s="198"/>
      <c r="F42" s="198"/>
      <c r="G42" s="198"/>
      <c r="H42" s="198"/>
      <c r="I42" s="200"/>
      <c r="J42" s="416"/>
      <c r="K42" s="417"/>
    </row>
    <row r="43" spans="1:14" ht="19.5" customHeight="1" x14ac:dyDescent="0.2">
      <c r="A43" s="35"/>
      <c r="B43" s="36"/>
      <c r="C43" s="36"/>
      <c r="D43" s="36"/>
      <c r="E43" s="36"/>
      <c r="F43" s="36"/>
      <c r="G43" s="36"/>
      <c r="H43" s="36"/>
      <c r="I43" s="348" t="s">
        <v>177</v>
      </c>
      <c r="J43" s="348"/>
      <c r="K43" s="348"/>
    </row>
    <row r="44" spans="1:14" ht="14.4" customHeight="1" x14ac:dyDescent="0.2">
      <c r="A44" s="270" t="s">
        <v>29</v>
      </c>
      <c r="B44" s="271"/>
      <c r="C44" s="12"/>
      <c r="D44" s="272" t="s">
        <v>26</v>
      </c>
      <c r="E44" s="272"/>
      <c r="H44" s="9"/>
      <c r="I44" s="9"/>
      <c r="M44" s="13"/>
      <c r="N44" s="14"/>
    </row>
    <row r="45" spans="1:14" ht="14.4" customHeight="1" x14ac:dyDescent="0.2">
      <c r="A45" s="265" t="s">
        <v>63</v>
      </c>
      <c r="B45" s="266"/>
      <c r="C45" s="267" t="s">
        <v>67</v>
      </c>
      <c r="D45" s="268"/>
      <c r="E45" s="268"/>
      <c r="F45" s="268"/>
      <c r="G45" s="268"/>
      <c r="H45" s="268"/>
      <c r="I45" s="268"/>
      <c r="J45" s="268"/>
      <c r="K45" s="268"/>
      <c r="M45" s="13"/>
      <c r="N45" s="14"/>
    </row>
    <row r="46" spans="1:14" ht="14.4" customHeight="1" x14ac:dyDescent="0.2">
      <c r="A46" s="265" t="s">
        <v>64</v>
      </c>
      <c r="B46" s="266"/>
      <c r="C46" s="267" t="s">
        <v>68</v>
      </c>
      <c r="D46" s="268"/>
      <c r="E46" s="268"/>
      <c r="F46" s="268"/>
      <c r="G46" s="268"/>
      <c r="H46" s="268"/>
      <c r="I46" s="268"/>
      <c r="J46" s="268"/>
      <c r="K46" s="268"/>
    </row>
    <row r="47" spans="1:14" ht="14.4" customHeight="1" x14ac:dyDescent="0.2">
      <c r="A47" s="64" t="s">
        <v>65</v>
      </c>
      <c r="B47" s="65"/>
      <c r="C47" s="282" t="s">
        <v>25</v>
      </c>
      <c r="D47" s="273"/>
      <c r="E47" s="273"/>
      <c r="F47" s="273"/>
      <c r="G47" s="273"/>
      <c r="H47" s="273"/>
      <c r="I47" s="273"/>
      <c r="J47" s="273"/>
      <c r="K47" s="273"/>
    </row>
    <row r="48" spans="1:14" ht="14.4" customHeight="1" x14ac:dyDescent="0.2">
      <c r="A48" s="240" t="s">
        <v>66</v>
      </c>
      <c r="B48" s="241"/>
      <c r="C48" s="66" t="s">
        <v>27</v>
      </c>
      <c r="D48" s="67"/>
      <c r="E48" s="67"/>
      <c r="F48" s="67"/>
      <c r="G48" s="67"/>
      <c r="H48" s="67"/>
      <c r="I48" s="67"/>
      <c r="J48" s="67"/>
      <c r="K48" s="67"/>
    </row>
    <row r="49" spans="1:11" ht="14.4" customHeight="1" x14ac:dyDescent="0.2">
      <c r="A49" s="285" t="s">
        <v>169</v>
      </c>
      <c r="B49" s="286"/>
      <c r="C49" s="273" t="s">
        <v>69</v>
      </c>
      <c r="D49" s="273"/>
      <c r="E49" s="273"/>
      <c r="F49" s="273"/>
      <c r="G49" s="273"/>
      <c r="H49" s="273"/>
      <c r="I49" s="273"/>
      <c r="J49" s="273"/>
      <c r="K49" s="273"/>
    </row>
    <row r="50" spans="1:11" ht="14.4" customHeight="1" x14ac:dyDescent="0.2">
      <c r="A50" s="274" t="s">
        <v>171</v>
      </c>
      <c r="B50" s="275"/>
      <c r="C50" s="67" t="s">
        <v>28</v>
      </c>
      <c r="D50" s="67"/>
      <c r="E50" s="67"/>
      <c r="F50" s="67"/>
      <c r="G50" s="67"/>
      <c r="H50" s="67"/>
      <c r="I50" s="67"/>
      <c r="J50" s="67"/>
      <c r="K50" s="67"/>
    </row>
    <row r="51" spans="1:11" ht="14.4" customHeight="1" x14ac:dyDescent="0.2">
      <c r="A51" s="276"/>
      <c r="B51" s="277"/>
      <c r="C51" s="273" t="s">
        <v>70</v>
      </c>
      <c r="D51" s="273"/>
      <c r="E51" s="273"/>
      <c r="F51" s="273"/>
      <c r="G51" s="273"/>
      <c r="H51" s="273"/>
      <c r="I51" s="273"/>
      <c r="J51" s="273"/>
      <c r="K51" s="273"/>
    </row>
    <row r="52" spans="1:11" ht="28.5" customHeight="1" x14ac:dyDescent="0.2">
      <c r="A52" s="278"/>
      <c r="B52" s="279"/>
      <c r="C52" s="280" t="s">
        <v>170</v>
      </c>
      <c r="D52" s="281"/>
      <c r="E52" s="281"/>
      <c r="F52" s="281"/>
      <c r="G52" s="281"/>
      <c r="H52" s="281"/>
      <c r="I52" s="281"/>
      <c r="J52" s="242"/>
      <c r="K52" s="242"/>
    </row>
  </sheetData>
  <mergeCells count="64">
    <mergeCell ref="J6:K6"/>
    <mergeCell ref="A50:B52"/>
    <mergeCell ref="C52:I52"/>
    <mergeCell ref="B1:F1"/>
    <mergeCell ref="H1:K1"/>
    <mergeCell ref="I3:I4"/>
    <mergeCell ref="J3:K4"/>
    <mergeCell ref="J5:K5"/>
    <mergeCell ref="J16:K16"/>
    <mergeCell ref="J7:K7"/>
    <mergeCell ref="J8:K8"/>
    <mergeCell ref="A9:A10"/>
    <mergeCell ref="J9:K9"/>
    <mergeCell ref="J10:K10"/>
    <mergeCell ref="I11:I12"/>
    <mergeCell ref="J11:K12"/>
    <mergeCell ref="J13:K13"/>
    <mergeCell ref="J14:K14"/>
    <mergeCell ref="J15:K15"/>
    <mergeCell ref="A17:A18"/>
    <mergeCell ref="J17:K17"/>
    <mergeCell ref="J18:K18"/>
    <mergeCell ref="I19:I20"/>
    <mergeCell ref="J19:K20"/>
    <mergeCell ref="F21:H21"/>
    <mergeCell ref="J21:K21"/>
    <mergeCell ref="J22:K22"/>
    <mergeCell ref="J23:K23"/>
    <mergeCell ref="J24:K24"/>
    <mergeCell ref="A33:A34"/>
    <mergeCell ref="G33:G34"/>
    <mergeCell ref="J33:K33"/>
    <mergeCell ref="J34:K34"/>
    <mergeCell ref="A25:A26"/>
    <mergeCell ref="G25:G26"/>
    <mergeCell ref="J25:K25"/>
    <mergeCell ref="J26:K26"/>
    <mergeCell ref="I27:I28"/>
    <mergeCell ref="J27:K28"/>
    <mergeCell ref="B33:B34"/>
    <mergeCell ref="J40:K40"/>
    <mergeCell ref="J29:K29"/>
    <mergeCell ref="J30:K30"/>
    <mergeCell ref="J31:K31"/>
    <mergeCell ref="J32:K32"/>
    <mergeCell ref="I35:I36"/>
    <mergeCell ref="J35:K36"/>
    <mergeCell ref="J37:K37"/>
    <mergeCell ref="J38:K38"/>
    <mergeCell ref="J39:K39"/>
    <mergeCell ref="C51:K51"/>
    <mergeCell ref="A49:B49"/>
    <mergeCell ref="C49:K49"/>
    <mergeCell ref="A41:A42"/>
    <mergeCell ref="J41:K41"/>
    <mergeCell ref="J42:K42"/>
    <mergeCell ref="I43:K43"/>
    <mergeCell ref="A44:B44"/>
    <mergeCell ref="D44:E44"/>
    <mergeCell ref="A45:B45"/>
    <mergeCell ref="C45:K45"/>
    <mergeCell ref="A46:B46"/>
    <mergeCell ref="C46:K46"/>
    <mergeCell ref="C47:K47"/>
  </mergeCells>
  <phoneticPr fontId="13"/>
  <pageMargins left="0.59055118110236227" right="0.27559055118110237" top="0.31496062992125984" bottom="0.11811023622047245" header="0.51181102362204722" footer="0.51181102362204722"/>
  <pageSetup paperSize="9" scale="92"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83FBEEC5-1D85-49A2-B22E-028C88429A53}">
          <x14:formula1>
            <xm:f>'F:\Users\clmiwa-three\Downloads\[《中村》新田・草加 エリア 仮シフト【12月16日～1月15日】.xlsx]参照データベース'!#REF!</xm:f>
          </x14:formula1>
          <xm:sqref>G1:G2 C34:D34 C18:D18 C26:D26 C10:D10 C42:H43</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2D7824-0282-4A16-9100-276C3A2BAB0F}">
  <sheetPr>
    <tabColor theme="7" tint="0.59999389629810485"/>
    <pageSetUpPr fitToPage="1"/>
  </sheetPr>
  <dimension ref="A1:N52"/>
  <sheetViews>
    <sheetView tabSelected="1" zoomScale="90" zoomScaleNormal="90" workbookViewId="0">
      <selection activeCell="O41" sqref="O41"/>
    </sheetView>
  </sheetViews>
  <sheetFormatPr defaultColWidth="9" defaultRowHeight="20.100000000000001" customHeight="1" x14ac:dyDescent="0.2"/>
  <cols>
    <col min="1" max="1" width="11.88671875" style="1" customWidth="1"/>
    <col min="2" max="8" width="10.21875" style="13" customWidth="1"/>
    <col min="9" max="9" width="7.6640625" style="1" customWidth="1"/>
    <col min="10" max="10" width="9" style="1"/>
    <col min="11" max="11" width="3.109375" style="1" customWidth="1"/>
    <col min="12" max="16384" width="9" style="1"/>
  </cols>
  <sheetData>
    <row r="1" spans="1:11" ht="20.100000000000001" customHeight="1" thickBot="1" x14ac:dyDescent="0.25">
      <c r="A1" s="53" t="s">
        <v>56</v>
      </c>
      <c r="B1" s="251" t="s">
        <v>167</v>
      </c>
      <c r="C1" s="251"/>
      <c r="D1" s="251"/>
      <c r="E1" s="251"/>
      <c r="F1" s="251"/>
      <c r="H1" s="434" t="s">
        <v>37</v>
      </c>
      <c r="I1" s="435"/>
      <c r="J1" s="436"/>
      <c r="K1" s="437"/>
    </row>
    <row r="2" spans="1:11" ht="9.9" customHeight="1" x14ac:dyDescent="0.2">
      <c r="A2" s="13"/>
      <c r="I2" s="13"/>
      <c r="J2" s="3"/>
      <c r="K2" s="4"/>
    </row>
    <row r="3" spans="1:11" ht="19.5" customHeight="1" x14ac:dyDescent="0.2">
      <c r="A3" s="21" t="s">
        <v>0</v>
      </c>
      <c r="B3" s="60">
        <v>46174</v>
      </c>
      <c r="C3" s="60">
        <v>46175</v>
      </c>
      <c r="D3" s="60">
        <v>46176</v>
      </c>
      <c r="E3" s="60">
        <v>46177</v>
      </c>
      <c r="F3" s="60">
        <v>46178</v>
      </c>
      <c r="G3" s="60">
        <v>46179</v>
      </c>
      <c r="H3" s="60">
        <v>46180</v>
      </c>
      <c r="I3" s="256" t="s">
        <v>1</v>
      </c>
      <c r="J3" s="258" t="s">
        <v>2</v>
      </c>
      <c r="K3" s="259"/>
    </row>
    <row r="4" spans="1:11" ht="19.5" customHeight="1" x14ac:dyDescent="0.2">
      <c r="A4" s="21" t="s">
        <v>3</v>
      </c>
      <c r="B4" s="2" t="s">
        <v>4</v>
      </c>
      <c r="C4" s="20" t="s">
        <v>5</v>
      </c>
      <c r="D4" s="20" t="s">
        <v>6</v>
      </c>
      <c r="E4" s="2" t="s">
        <v>7</v>
      </c>
      <c r="F4" s="2" t="s">
        <v>8</v>
      </c>
      <c r="G4" s="2" t="s">
        <v>9</v>
      </c>
      <c r="H4" s="23" t="s">
        <v>10</v>
      </c>
      <c r="I4" s="257"/>
      <c r="J4" s="260"/>
      <c r="K4" s="261"/>
    </row>
    <row r="5" spans="1:11" ht="19.5" customHeight="1" x14ac:dyDescent="0.2">
      <c r="A5" s="16" t="s">
        <v>11</v>
      </c>
      <c r="B5" s="11"/>
      <c r="C5" s="20"/>
      <c r="D5" s="20"/>
      <c r="E5" s="11"/>
      <c r="F5" s="11"/>
      <c r="G5" s="11"/>
      <c r="H5" s="11"/>
      <c r="I5" s="5"/>
      <c r="J5" s="249"/>
      <c r="K5" s="250"/>
    </row>
    <row r="6" spans="1:11" ht="19.5" customHeight="1" x14ac:dyDescent="0.2">
      <c r="A6" s="18" t="s">
        <v>51</v>
      </c>
      <c r="B6" s="11"/>
      <c r="C6" s="87"/>
      <c r="D6" s="87"/>
      <c r="E6" s="52"/>
      <c r="F6" s="52"/>
      <c r="G6" s="52"/>
      <c r="H6" s="57"/>
      <c r="I6" s="5">
        <f>COUNTIFS(B6:H6,"&lt;&gt;空",B6:H6,"&lt;&gt;休",B6:H6,"&lt;&gt;調",B6:H6,"&lt;&gt;",B6:H6,"&lt;&gt;調整休")</f>
        <v>0</v>
      </c>
      <c r="J6" s="249">
        <f t="shared" ref="J6:J8" si="0">SUM(COUNTIF(B6:H6,"9-14:30"))*(5)+(COUNTIF(B6:H6,"9-20"))*(10)+(COUNTIF(B6:H6,"9-19"))*(9)+(COUNTIF(B6:H6,"9-18"))*(8)+(COUNTIF(B6:H6,"9-17"))*(7.25)+(COUNTIF(B6:H6,"9-16"))*(6.25)+(COUNTIF(B6:H6,"9-15"))*(5.5)+(COUNTIF(B6:H6,"9-14"))*(4.5)+(COUNTIF(B6:H6,"9-13,17-20"))*(7)+(COUNTIF(B6:H6,"9-13"))*(4)+(COUNTIF(B6:H6,"9-12,18-20"))*(5)+(COUNTIF(B6:H6,"9-12,16-20"))*(7)+(COUNTIF(B6:H6,"9-12,16-19"))*(6)+(COUNTIF(B6:H6,"9-13,16-20"))*(6)+(COUNTIF(B6:H6,"9-12"))*(3)+(COUNTIF(B6:H6,"9-11:30"))*(2.5)+(COUNTIF(B6:H6,"9-11,16-19"))*(5)+(COUNTIF(B6:H6,"9-11"))*(2)+(COUNTIF(B6:H6,"9:30-11:30,16-19"))*(5)+(COUNTIF(B6:H6,"19-20"))*(1)+(COUNTIF(B6:H6,"17-20"))*(3)+(COUNTIF(B6:H6,"16-20"))*(4)+(COUNTIF(B6:H6,"15-20"))*(4.5)+(COUNTIF(B6:H6,"15-19"))*(4)+(COUNTIF(B6:H6,"14-20"))*(5.5)+(COUNTIF(B6:H6,"14-19"))*(4.5)+(COUNTIF(B6:H6,"14:30-20"))*(5)+(COUNTIF(B6:H6,"13-20"))*(6.25)+(COUNTIF(B6:H6,"13-19"))*(5.5)+(COUNTIF(B6:H6,"13-18"))*(4.5)+(COUNTIF(B6:H6,"13-17"))*(4)+(COUNTIF(B6:H6,"12-20"))*(7.25)+(COUNTIF(B6:H6,"10-20"))*(9)+(COUNTIF(B6:H6,"10-15"))*(4.5)+(COUNTIF(B6:H6,"12-18"))*(5.5)+(COUNTIF(B6:H6,"10-12,14-19"))*(6.5)+(COUNTIF(B6:H6,"10-14"))*(4)+(COUNTIF(B6:H6,"13:30-19"))*(5)+(COUNTIF(B6:H6,"14-17"))*(4)+(COUNTIF(B6:H6,"16-19"))*(3)</f>
        <v>0</v>
      </c>
      <c r="K6" s="250"/>
    </row>
    <row r="7" spans="1:11" ht="19.5" customHeight="1" x14ac:dyDescent="0.2">
      <c r="A7" s="19" t="s">
        <v>36</v>
      </c>
      <c r="B7" s="47" t="s">
        <v>49</v>
      </c>
      <c r="C7" s="20"/>
      <c r="D7" s="20"/>
      <c r="E7" s="47"/>
      <c r="F7" s="47" t="s">
        <v>18</v>
      </c>
      <c r="G7" s="47" t="s">
        <v>18</v>
      </c>
      <c r="H7" s="47" t="s">
        <v>49</v>
      </c>
      <c r="I7" s="5">
        <f>COUNTIFS(B7:H7,"&lt;&gt;空",B7:H7,"&lt;&gt;休",B7:H7,"&lt;&gt;調",B7:H7,"&lt;&gt;",B7:H7,"&lt;&gt;調整休")</f>
        <v>4</v>
      </c>
      <c r="J7" s="249">
        <f t="shared" si="0"/>
        <v>21.5</v>
      </c>
      <c r="K7" s="250"/>
    </row>
    <row r="8" spans="1:11" ht="19.5" customHeight="1" x14ac:dyDescent="0.2">
      <c r="A8" s="18" t="s">
        <v>57</v>
      </c>
      <c r="B8" s="11" t="s">
        <v>23</v>
      </c>
      <c r="C8" s="20"/>
      <c r="D8" s="20"/>
      <c r="E8" s="11" t="s">
        <v>23</v>
      </c>
      <c r="F8" s="47"/>
      <c r="G8" s="47"/>
      <c r="H8" s="11" t="s">
        <v>23</v>
      </c>
      <c r="I8" s="5">
        <f>COUNTIFS(B8:H8,"&lt;&gt;空",B8:H8,"&lt;&gt;休",B8:H8,"&lt;&gt;調",B8:H8,"&lt;&gt;",B8:H8,"&lt;&gt;調整休")</f>
        <v>3</v>
      </c>
      <c r="J8" s="249">
        <f t="shared" si="0"/>
        <v>9</v>
      </c>
      <c r="K8" s="250"/>
    </row>
    <row r="9" spans="1:11" ht="19.5" customHeight="1" x14ac:dyDescent="0.2">
      <c r="A9" s="49" t="s">
        <v>53</v>
      </c>
      <c r="B9" s="15"/>
      <c r="C9" s="20"/>
      <c r="D9" s="20"/>
      <c r="E9" s="63" t="s">
        <v>126</v>
      </c>
      <c r="F9" s="63" t="s">
        <v>165</v>
      </c>
      <c r="G9" s="63" t="s">
        <v>165</v>
      </c>
      <c r="H9" s="50"/>
      <c r="I9" s="5"/>
      <c r="J9" s="249"/>
      <c r="K9" s="250"/>
    </row>
    <row r="10" spans="1:11" ht="19.5" customHeight="1" x14ac:dyDescent="0.2">
      <c r="A10" s="38"/>
      <c r="B10" s="11"/>
      <c r="C10" s="74"/>
      <c r="D10" s="74"/>
      <c r="E10" s="11"/>
      <c r="F10" s="34"/>
      <c r="G10" s="11"/>
      <c r="H10" s="34"/>
      <c r="I10" s="5"/>
      <c r="J10" s="321"/>
      <c r="K10" s="322"/>
    </row>
    <row r="11" spans="1:11" ht="19.5" customHeight="1" x14ac:dyDescent="0.2">
      <c r="A11" s="29" t="s">
        <v>0</v>
      </c>
      <c r="B11" s="46">
        <v>46181</v>
      </c>
      <c r="C11" s="46">
        <v>46182</v>
      </c>
      <c r="D11" s="46">
        <v>46183</v>
      </c>
      <c r="E11" s="46">
        <v>46184</v>
      </c>
      <c r="F11" s="46">
        <v>46185</v>
      </c>
      <c r="G11" s="46">
        <v>46186</v>
      </c>
      <c r="H11" s="46">
        <v>46187</v>
      </c>
      <c r="I11" s="7"/>
      <c r="J11" s="258" t="s">
        <v>2</v>
      </c>
      <c r="K11" s="259"/>
    </row>
    <row r="12" spans="1:11" ht="19.5" customHeight="1" x14ac:dyDescent="0.2">
      <c r="A12" s="21" t="s">
        <v>3</v>
      </c>
      <c r="B12" s="2" t="s">
        <v>4</v>
      </c>
      <c r="C12" s="20" t="s">
        <v>5</v>
      </c>
      <c r="D12" s="20" t="s">
        <v>6</v>
      </c>
      <c r="E12" s="2" t="s">
        <v>7</v>
      </c>
      <c r="F12" s="2" t="s">
        <v>8</v>
      </c>
      <c r="G12" s="2" t="s">
        <v>9</v>
      </c>
      <c r="H12" s="23" t="s">
        <v>10</v>
      </c>
      <c r="I12" s="8"/>
      <c r="J12" s="260"/>
      <c r="K12" s="261"/>
    </row>
    <row r="13" spans="1:11" ht="19.5" customHeight="1" x14ac:dyDescent="0.2">
      <c r="A13" s="16" t="s">
        <v>12</v>
      </c>
      <c r="B13" s="11"/>
      <c r="C13" s="20"/>
      <c r="D13" s="20"/>
      <c r="E13" s="11"/>
      <c r="F13" s="11"/>
      <c r="G13" s="11"/>
      <c r="H13" s="11"/>
      <c r="I13" s="5"/>
      <c r="J13" s="249"/>
      <c r="K13" s="250"/>
    </row>
    <row r="14" spans="1:11" ht="19.5" customHeight="1" x14ac:dyDescent="0.2">
      <c r="A14" s="18" t="s">
        <v>51</v>
      </c>
      <c r="B14" s="52"/>
      <c r="C14" s="87"/>
      <c r="D14" s="28"/>
      <c r="E14" s="47"/>
      <c r="F14" s="47" t="s">
        <v>19</v>
      </c>
      <c r="G14" s="47" t="s">
        <v>18</v>
      </c>
      <c r="H14" s="47" t="s">
        <v>49</v>
      </c>
      <c r="I14" s="5">
        <f t="shared" ref="I14:I16" si="1">COUNTIFS(B14:H14,"&lt;&gt;空",B14:H14,"&lt;&gt;休",B14:H14,"&lt;&gt;調",B14:H14,"&lt;&gt;",B14:H14,"&lt;&gt;調整休")</f>
        <v>3</v>
      </c>
      <c r="J14" s="249">
        <f t="shared" ref="J14:J16" si="2">SUM(COUNTIF(B14:H14,"9-14:30"))*(5)+(COUNTIF(B14:H14,"9-20"))*(10)+(COUNTIF(B14:H14,"9-19"))*(9)+(COUNTIF(B14:H14,"9-18"))*(8)+(COUNTIF(B14:H14,"9-17"))*(7.25)+(COUNTIF(B14:H14,"9-16"))*(6.25)+(COUNTIF(B14:H14,"9-15"))*(5.5)+(COUNTIF(B14:H14,"9-14"))*(4.5)+(COUNTIF(B14:H14,"9-13,17-20"))*(7)+(COUNTIF(B14:H14,"9-13"))*(4)+(COUNTIF(B14:H14,"9-12,18-20"))*(5)+(COUNTIF(B14:H14,"9-12,16-20"))*(7)+(COUNTIF(B14:H14,"9-12,16-19"))*(6)+(COUNTIF(B14:H14,"9-13,16-20"))*(6)+(COUNTIF(B14:H14,"9-12"))*(3)+(COUNTIF(B14:H14,"9-11:30"))*(2.5)+(COUNTIF(B14:H14,"9-11,16-19"))*(5)+(COUNTIF(B14:H14,"9-11"))*(2)+(COUNTIF(B14:H14,"9:30-11:30,16-19"))*(5)+(COUNTIF(B14:H14,"19-20"))*(1)+(COUNTIF(B14:H14,"17-20"))*(3)+(COUNTIF(B14:H14,"16-20"))*(4)+(COUNTIF(B14:H14,"15-20"))*(4.5)+(COUNTIF(B14:H14,"15-19"))*(4)+(COUNTIF(B14:H14,"14-20"))*(5.5)+(COUNTIF(B14:H14,"14-19"))*(4.5)+(COUNTIF(B14:H14,"14:30-20"))*(5)+(COUNTIF(B14:H14,"13-20"))*(6.25)+(COUNTIF(B14:H14,"13-19"))*(5.5)+(COUNTIF(B14:H14,"13-18"))*(4.5)+(COUNTIF(B14:H14,"13-17"))*(4)+(COUNTIF(B14:H14,"12-20"))*(7.25)+(COUNTIF(B14:H14,"10-20"))*(9)+(COUNTIF(B14:H14,"10-15"))*(4.5)+(COUNTIF(B14:H14,"12-18"))*(5.5)+(COUNTIF(B14:H14,"10-12,14-19"))*(6.5)+(COUNTIF(B14:H14,"10-14"))*(4)+(COUNTIF(B14:H14,"13:30-19"))*(5)+(COUNTIF(B14:H14,"14-17"))*(4)+(COUNTIF(B14:H14,"16-19"))*(3)</f>
        <v>15.25</v>
      </c>
      <c r="K14" s="250"/>
    </row>
    <row r="15" spans="1:11" ht="19.5" customHeight="1" x14ac:dyDescent="0.2">
      <c r="A15" s="19" t="s">
        <v>36</v>
      </c>
      <c r="B15" s="47" t="s">
        <v>49</v>
      </c>
      <c r="C15" s="20"/>
      <c r="D15" s="28"/>
      <c r="E15" s="47" t="s">
        <v>18</v>
      </c>
      <c r="F15" s="47" t="s">
        <v>18</v>
      </c>
      <c r="G15" s="47" t="s">
        <v>19</v>
      </c>
      <c r="H15" s="57"/>
      <c r="I15" s="5">
        <f t="shared" si="1"/>
        <v>4</v>
      </c>
      <c r="J15" s="249">
        <f t="shared" si="2"/>
        <v>19.75</v>
      </c>
      <c r="K15" s="250"/>
    </row>
    <row r="16" spans="1:11" ht="19.5" customHeight="1" x14ac:dyDescent="0.2">
      <c r="A16" s="18" t="s">
        <v>57</v>
      </c>
      <c r="B16" s="11" t="s">
        <v>23</v>
      </c>
      <c r="C16" s="20"/>
      <c r="D16" s="28"/>
      <c r="E16" s="11" t="s">
        <v>23</v>
      </c>
      <c r="F16" s="47"/>
      <c r="G16" s="47"/>
      <c r="H16" s="11" t="s">
        <v>23</v>
      </c>
      <c r="I16" s="5">
        <f t="shared" si="1"/>
        <v>3</v>
      </c>
      <c r="J16" s="249">
        <f t="shared" si="2"/>
        <v>9</v>
      </c>
      <c r="K16" s="250"/>
    </row>
    <row r="17" spans="1:11" ht="19.5" customHeight="1" x14ac:dyDescent="0.2">
      <c r="A17" s="49" t="s">
        <v>53</v>
      </c>
      <c r="B17" s="15"/>
      <c r="C17" s="20"/>
      <c r="D17" s="28"/>
      <c r="E17" s="63" t="s">
        <v>191</v>
      </c>
      <c r="F17" s="47"/>
      <c r="G17" s="47"/>
      <c r="H17" s="50"/>
      <c r="I17" s="5"/>
      <c r="J17" s="249"/>
      <c r="K17" s="250"/>
    </row>
    <row r="18" spans="1:11" ht="19.5" customHeight="1" x14ac:dyDescent="0.2">
      <c r="A18" s="38"/>
      <c r="B18" s="11"/>
      <c r="C18" s="74"/>
      <c r="D18" s="74"/>
      <c r="E18" s="11"/>
      <c r="F18" s="34"/>
      <c r="G18" s="11"/>
      <c r="H18" s="34"/>
      <c r="I18" s="5"/>
      <c r="J18" s="321"/>
      <c r="K18" s="322"/>
    </row>
    <row r="19" spans="1:11" ht="19.5" customHeight="1" x14ac:dyDescent="0.2">
      <c r="A19" s="21" t="s">
        <v>0</v>
      </c>
      <c r="B19" s="60">
        <v>46188</v>
      </c>
      <c r="C19" s="60">
        <v>46189</v>
      </c>
      <c r="D19" s="60">
        <v>46190</v>
      </c>
      <c r="E19" s="60">
        <v>46191</v>
      </c>
      <c r="F19" s="60">
        <v>46192</v>
      </c>
      <c r="G19" s="60">
        <v>46193</v>
      </c>
      <c r="H19" s="60">
        <v>46194</v>
      </c>
      <c r="I19" s="7"/>
      <c r="J19" s="258" t="s">
        <v>2</v>
      </c>
      <c r="K19" s="259"/>
    </row>
    <row r="20" spans="1:11" ht="19.5" customHeight="1" x14ac:dyDescent="0.2">
      <c r="A20" s="21" t="s">
        <v>3</v>
      </c>
      <c r="B20" s="2" t="s">
        <v>4</v>
      </c>
      <c r="C20" s="20" t="s">
        <v>5</v>
      </c>
      <c r="D20" s="20" t="s">
        <v>6</v>
      </c>
      <c r="E20" s="2" t="s">
        <v>7</v>
      </c>
      <c r="F20" s="2" t="s">
        <v>8</v>
      </c>
      <c r="G20" s="2" t="s">
        <v>9</v>
      </c>
      <c r="H20" s="23" t="s">
        <v>10</v>
      </c>
      <c r="I20" s="8"/>
      <c r="J20" s="260"/>
      <c r="K20" s="261"/>
    </row>
    <row r="21" spans="1:11" ht="17.100000000000001" customHeight="1" x14ac:dyDescent="0.2">
      <c r="A21" s="16" t="s">
        <v>11</v>
      </c>
      <c r="B21" s="11"/>
      <c r="C21" s="20"/>
      <c r="D21" s="20"/>
      <c r="E21" s="11"/>
      <c r="F21" s="11"/>
      <c r="G21" s="11"/>
      <c r="H21" s="11"/>
      <c r="I21" s="45"/>
      <c r="J21" s="262"/>
      <c r="K21" s="263"/>
    </row>
    <row r="22" spans="1:11" ht="19.5" customHeight="1" x14ac:dyDescent="0.2">
      <c r="A22" s="19" t="s">
        <v>51</v>
      </c>
      <c r="B22" s="47" t="s">
        <v>49</v>
      </c>
      <c r="C22" s="87"/>
      <c r="D22" s="87"/>
      <c r="E22" s="47" t="s">
        <v>49</v>
      </c>
      <c r="F22" s="47" t="s">
        <v>18</v>
      </c>
      <c r="G22" s="47" t="s">
        <v>19</v>
      </c>
      <c r="H22" s="47"/>
      <c r="I22" s="5">
        <f t="shared" ref="I22:I24" si="3">COUNTIFS(B22:H22,"&lt;&gt;空",B22:H22,"&lt;&gt;休",B22:H22,"&lt;&gt;調",B22:H22,"&lt;&gt;",B22:H22,"&lt;&gt;調整休")</f>
        <v>4</v>
      </c>
      <c r="J22" s="249">
        <f t="shared" ref="J22:J24" si="4">SUM(COUNTIF(B22:H22,"9-14:30"))*(5)+(COUNTIF(B22:H22,"9-20"))*(10)+(COUNTIF(B22:H22,"9-19"))*(9)+(COUNTIF(B22:H22,"9-18"))*(8)+(COUNTIF(B22:H22,"9-17"))*(7.25)+(COUNTIF(B22:H22,"9-16"))*(6.25)+(COUNTIF(B22:H22,"9-15"))*(5.5)+(COUNTIF(B22:H22,"9-14"))*(4.5)+(COUNTIF(B22:H22,"9-13,17-20"))*(7)+(COUNTIF(B22:H22,"9-13"))*(4)+(COUNTIF(B22:H22,"9-12,18-20"))*(5)+(COUNTIF(B22:H22,"9-12,16-20"))*(7)+(COUNTIF(B22:H22,"9-12,16-19"))*(6)+(COUNTIF(B22:H22,"9-13,16-20"))*(6)+(COUNTIF(B22:H22,"9-12"))*(3)+(COUNTIF(B22:H22,"9-11:30"))*(2.5)+(COUNTIF(B22:H22,"9-11,16-19"))*(5)+(COUNTIF(B22:H22,"9-11"))*(2)+(COUNTIF(B22:H22,"9:30-11:30,16-19"))*(5)+(COUNTIF(B22:H22,"19-20"))*(1)+(COUNTIF(B22:H22,"17-20"))*(3)+(COUNTIF(B22:H22,"16-20"))*(4)+(COUNTIF(B22:H22,"15-20"))*(4.5)+(COUNTIF(B22:H22,"15-19"))*(4)+(COUNTIF(B22:H22,"14-20"))*(5.5)+(COUNTIF(B22:H22,"14-19"))*(4.5)+(COUNTIF(B22:H22,"14:30-20"))*(5)+(COUNTIF(B22:H22,"13-20"))*(6.25)+(COUNTIF(B22:H22,"13-19"))*(5.5)+(COUNTIF(B22:H22,"13-18"))*(4.5)+(COUNTIF(B22:H22,"13-17"))*(4)+(COUNTIF(B22:H22,"12-20"))*(7.25)+(COUNTIF(B22:H22,"10-20"))*(9)+(COUNTIF(B22:H22,"10-15"))*(4.5)+(COUNTIF(B22:H22,"12-18"))*(5.5)+(COUNTIF(B22:H22,"10-12,14-19"))*(6.5)+(COUNTIF(B22:H22,"10-14"))*(4)+(COUNTIF(B22:H22,"13:30-19"))*(5)+(COUNTIF(B22:H22,"14-17"))*(4)+(COUNTIF(B22:H22,"16-19"))*(3)</f>
        <v>21.5</v>
      </c>
      <c r="K22" s="250"/>
    </row>
    <row r="23" spans="1:11" ht="19.5" customHeight="1" x14ac:dyDescent="0.2">
      <c r="A23" s="19" t="s">
        <v>36</v>
      </c>
      <c r="B23" s="52"/>
      <c r="C23" s="20"/>
      <c r="D23" s="20"/>
      <c r="E23" s="47"/>
      <c r="F23" s="47" t="s">
        <v>19</v>
      </c>
      <c r="G23" s="47" t="s">
        <v>18</v>
      </c>
      <c r="H23" s="47" t="s">
        <v>49</v>
      </c>
      <c r="I23" s="5">
        <f t="shared" si="3"/>
        <v>3</v>
      </c>
      <c r="J23" s="249">
        <f t="shared" si="4"/>
        <v>15.25</v>
      </c>
      <c r="K23" s="250"/>
    </row>
    <row r="24" spans="1:11" ht="19.5" customHeight="1" x14ac:dyDescent="0.2">
      <c r="A24" s="18" t="s">
        <v>57</v>
      </c>
      <c r="B24" s="11" t="s">
        <v>23</v>
      </c>
      <c r="C24" s="20"/>
      <c r="D24" s="20"/>
      <c r="E24" s="11" t="s">
        <v>23</v>
      </c>
      <c r="F24" s="47"/>
      <c r="G24" s="47"/>
      <c r="H24" s="11" t="s">
        <v>23</v>
      </c>
      <c r="I24" s="5">
        <f t="shared" si="3"/>
        <v>3</v>
      </c>
      <c r="J24" s="249">
        <f t="shared" si="4"/>
        <v>9</v>
      </c>
      <c r="K24" s="250"/>
    </row>
    <row r="25" spans="1:11" ht="19.5" customHeight="1" x14ac:dyDescent="0.2">
      <c r="A25" s="49" t="s">
        <v>53</v>
      </c>
      <c r="B25" s="15"/>
      <c r="C25" s="20"/>
      <c r="D25" s="20"/>
      <c r="E25" s="15"/>
      <c r="F25" s="47"/>
      <c r="G25" s="47"/>
      <c r="H25" s="50"/>
      <c r="I25" s="5"/>
      <c r="J25" s="249"/>
      <c r="K25" s="250"/>
    </row>
    <row r="26" spans="1:11" ht="19.5" customHeight="1" x14ac:dyDescent="0.2">
      <c r="A26" s="38"/>
      <c r="B26" s="11"/>
      <c r="C26" s="74"/>
      <c r="D26" s="74"/>
      <c r="E26" s="11"/>
      <c r="F26" s="34"/>
      <c r="G26" s="11"/>
      <c r="H26" s="34"/>
      <c r="I26" s="5"/>
      <c r="J26" s="321"/>
      <c r="K26" s="322"/>
    </row>
    <row r="27" spans="1:11" ht="19.5" customHeight="1" x14ac:dyDescent="0.2">
      <c r="A27" s="21" t="s">
        <v>0</v>
      </c>
      <c r="B27" s="60">
        <v>46195</v>
      </c>
      <c r="C27" s="60">
        <v>46196</v>
      </c>
      <c r="D27" s="60">
        <v>46197</v>
      </c>
      <c r="E27" s="60">
        <v>46198</v>
      </c>
      <c r="F27" s="60">
        <v>46199</v>
      </c>
      <c r="G27" s="60">
        <v>46200</v>
      </c>
      <c r="H27" s="60">
        <v>46201</v>
      </c>
      <c r="I27" s="7"/>
      <c r="J27" s="258" t="s">
        <v>2</v>
      </c>
      <c r="K27" s="259"/>
    </row>
    <row r="28" spans="1:11" ht="19.5" customHeight="1" x14ac:dyDescent="0.2">
      <c r="A28" s="21" t="s">
        <v>3</v>
      </c>
      <c r="B28" s="2" t="s">
        <v>4</v>
      </c>
      <c r="C28" s="20" t="s">
        <v>5</v>
      </c>
      <c r="D28" s="20" t="s">
        <v>6</v>
      </c>
      <c r="E28" s="2" t="s">
        <v>7</v>
      </c>
      <c r="F28" s="2" t="s">
        <v>8</v>
      </c>
      <c r="G28" s="2" t="s">
        <v>9</v>
      </c>
      <c r="H28" s="23" t="s">
        <v>10</v>
      </c>
      <c r="I28" s="8"/>
      <c r="J28" s="260"/>
      <c r="K28" s="261"/>
    </row>
    <row r="29" spans="1:11" ht="19.5" customHeight="1" x14ac:dyDescent="0.2">
      <c r="A29" s="16" t="s">
        <v>12</v>
      </c>
      <c r="B29" s="11"/>
      <c r="C29" s="20"/>
      <c r="D29" s="20"/>
      <c r="E29" s="11"/>
      <c r="F29" s="264" t="s">
        <v>50</v>
      </c>
      <c r="G29" s="264"/>
      <c r="H29" s="264"/>
      <c r="I29" s="5"/>
      <c r="J29" s="249"/>
      <c r="K29" s="250"/>
    </row>
    <row r="30" spans="1:11" ht="19.5" customHeight="1" x14ac:dyDescent="0.2">
      <c r="A30" s="18" t="s">
        <v>51</v>
      </c>
      <c r="B30" s="11" t="s">
        <v>49</v>
      </c>
      <c r="C30" s="87"/>
      <c r="D30" s="28"/>
      <c r="E30" s="47"/>
      <c r="F30" s="47" t="s">
        <v>19</v>
      </c>
      <c r="G30" s="47" t="s">
        <v>18</v>
      </c>
      <c r="H30" s="47" t="s">
        <v>49</v>
      </c>
      <c r="I30" s="5">
        <f t="shared" ref="I30:I32" si="5">COUNTIFS(B30:H30,"&lt;&gt;空",B30:H30,"&lt;&gt;休",B30:H30,"&lt;&gt;調",B30:H30,"&lt;&gt;",B30:H30,"&lt;&gt;調整休")</f>
        <v>4</v>
      </c>
      <c r="J30" s="249">
        <f t="shared" ref="J30:J32" si="6">SUM(COUNTIF(B30:H30,"9-14:30"))*(5)+(COUNTIF(B30:H30,"9-20"))*(10)+(COUNTIF(B30:H30,"9-19"))*(9)+(COUNTIF(B30:H30,"9-18"))*(8)+(COUNTIF(B30:H30,"9-17"))*(7.25)+(COUNTIF(B30:H30,"9-16"))*(6.25)+(COUNTIF(B30:H30,"9-15"))*(5.5)+(COUNTIF(B30:H30,"9-14"))*(4.5)+(COUNTIF(B30:H30,"9-13,17-20"))*(7)+(COUNTIF(B30:H30,"9-13"))*(4)+(COUNTIF(B30:H30,"9-12,18-20"))*(5)+(COUNTIF(B30:H30,"9-12,16-20"))*(7)+(COUNTIF(B30:H30,"9-12,16-19"))*(6)+(COUNTIF(B30:H30,"9-13,16-20"))*(6)+(COUNTIF(B30:H30,"9-12"))*(3)+(COUNTIF(B30:H30,"9-11:30"))*(2.5)+(COUNTIF(B30:H30,"9-11,16-19"))*(5)+(COUNTIF(B30:H30,"9-11"))*(2)+(COUNTIF(B30:H30,"9:30-11:30,16-19"))*(5)+(COUNTIF(B30:H30,"19-20"))*(1)+(COUNTIF(B30:H30,"17-20"))*(3)+(COUNTIF(B30:H30,"16-20"))*(4)+(COUNTIF(B30:H30,"15-20"))*(4.5)+(COUNTIF(B30:H30,"15-19"))*(4)+(COUNTIF(B30:H30,"14-20"))*(5.5)+(COUNTIF(B30:H30,"14-19"))*(4.5)+(COUNTIF(B30:H30,"14:30-20"))*(5)+(COUNTIF(B30:H30,"13-20"))*(6.25)+(COUNTIF(B30:H30,"13-19"))*(5.5)+(COUNTIF(B30:H30,"13-18"))*(4.5)+(COUNTIF(B30:H30,"13-17"))*(4)+(COUNTIF(B30:H30,"12-20"))*(7.25)+(COUNTIF(B30:H30,"10-20"))*(9)+(COUNTIF(B30:H30,"10-15"))*(4.5)+(COUNTIF(B30:H30,"12-18"))*(5.5)+(COUNTIF(B30:H30,"10-12,14-19"))*(6.5)+(COUNTIF(B30:H30,"10-14"))*(4)+(COUNTIF(B30:H30,"13:30-19"))*(5)+(COUNTIF(B30:H30,"14-17"))*(4)+(COUNTIF(B30:H30,"16-19"))*(3)</f>
        <v>21.5</v>
      </c>
      <c r="K30" s="250"/>
    </row>
    <row r="31" spans="1:11" ht="19.5" customHeight="1" x14ac:dyDescent="0.2">
      <c r="A31" s="19" t="s">
        <v>36</v>
      </c>
      <c r="B31" s="15"/>
      <c r="C31" s="20"/>
      <c r="D31" s="28"/>
      <c r="E31" s="47" t="s">
        <v>18</v>
      </c>
      <c r="F31" s="47" t="s">
        <v>18</v>
      </c>
      <c r="G31" s="47" t="s">
        <v>19</v>
      </c>
      <c r="H31" s="47"/>
      <c r="I31" s="5">
        <f t="shared" si="5"/>
        <v>3</v>
      </c>
      <c r="J31" s="249">
        <f t="shared" si="6"/>
        <v>13.5</v>
      </c>
      <c r="K31" s="250"/>
    </row>
    <row r="32" spans="1:11" ht="19.5" customHeight="1" x14ac:dyDescent="0.2">
      <c r="A32" s="18" t="s">
        <v>57</v>
      </c>
      <c r="B32" s="11" t="s">
        <v>23</v>
      </c>
      <c r="C32" s="20"/>
      <c r="D32" s="28"/>
      <c r="E32" s="11" t="s">
        <v>23</v>
      </c>
      <c r="F32" s="47"/>
      <c r="G32" s="47"/>
      <c r="H32" s="11" t="s">
        <v>23</v>
      </c>
      <c r="I32" s="5">
        <f t="shared" si="5"/>
        <v>3</v>
      </c>
      <c r="J32" s="249">
        <f t="shared" si="6"/>
        <v>9</v>
      </c>
      <c r="K32" s="250"/>
    </row>
    <row r="33" spans="1:14" ht="19.5" customHeight="1" x14ac:dyDescent="0.2">
      <c r="A33" s="49" t="s">
        <v>53</v>
      </c>
      <c r="B33" s="15"/>
      <c r="C33" s="20"/>
      <c r="D33" s="28"/>
      <c r="E33" s="63" t="s">
        <v>191</v>
      </c>
      <c r="F33" s="47"/>
      <c r="G33" s="47"/>
      <c r="H33" s="50"/>
      <c r="I33" s="5"/>
      <c r="J33" s="249"/>
      <c r="K33" s="250"/>
    </row>
    <row r="34" spans="1:14" ht="19.5" customHeight="1" x14ac:dyDescent="0.2">
      <c r="A34" s="38"/>
      <c r="B34" s="11"/>
      <c r="C34" s="74"/>
      <c r="D34" s="74"/>
      <c r="E34" s="11"/>
      <c r="F34" s="34"/>
      <c r="G34" s="11"/>
      <c r="H34" s="34"/>
      <c r="I34" s="5"/>
      <c r="J34" s="321"/>
      <c r="K34" s="322"/>
    </row>
    <row r="35" spans="1:14" ht="19.5" customHeight="1" x14ac:dyDescent="0.2">
      <c r="A35" s="21" t="s">
        <v>0</v>
      </c>
      <c r="B35" s="22">
        <v>46202</v>
      </c>
      <c r="C35" s="22">
        <v>46203</v>
      </c>
      <c r="D35" s="22"/>
      <c r="E35" s="22"/>
      <c r="F35" s="22"/>
      <c r="G35" s="22"/>
      <c r="H35" s="22"/>
      <c r="I35" s="7"/>
      <c r="J35" s="258" t="s">
        <v>2</v>
      </c>
      <c r="K35" s="259"/>
    </row>
    <row r="36" spans="1:14" ht="19.5" customHeight="1" x14ac:dyDescent="0.2">
      <c r="A36" s="21" t="s">
        <v>3</v>
      </c>
      <c r="B36" s="2" t="s">
        <v>4</v>
      </c>
      <c r="C36" s="174" t="s">
        <v>5</v>
      </c>
      <c r="D36" s="20"/>
      <c r="E36" s="2"/>
      <c r="F36" s="2"/>
      <c r="G36" s="2"/>
      <c r="H36" s="23"/>
      <c r="I36" s="8"/>
      <c r="J36" s="260"/>
      <c r="K36" s="261"/>
    </row>
    <row r="37" spans="1:14" ht="17.100000000000001" customHeight="1" x14ac:dyDescent="0.2">
      <c r="A37" s="16" t="s">
        <v>11</v>
      </c>
      <c r="B37" s="11"/>
      <c r="C37" s="20"/>
      <c r="D37" s="20"/>
      <c r="E37" s="20"/>
      <c r="F37" s="20"/>
      <c r="G37" s="20"/>
      <c r="H37" s="20"/>
      <c r="I37" s="45"/>
      <c r="J37" s="25"/>
      <c r="K37" s="43"/>
    </row>
    <row r="38" spans="1:14" ht="19.5" customHeight="1" x14ac:dyDescent="0.2">
      <c r="A38" s="18" t="s">
        <v>51</v>
      </c>
      <c r="B38" s="11"/>
      <c r="C38" s="87"/>
      <c r="D38" s="28"/>
      <c r="E38" s="28"/>
      <c r="F38" s="28"/>
      <c r="G38" s="28"/>
      <c r="H38" s="28"/>
      <c r="I38" s="5">
        <f t="shared" ref="I38:I40" si="7">COUNTIFS(B38:H38,"&lt;&gt;空",B38:H38,"&lt;&gt;休",B38:H38,"&lt;&gt;調",B38:H38,"&lt;&gt;",B38:H38,"&lt;&gt;調整休")</f>
        <v>0</v>
      </c>
      <c r="J38" s="249">
        <f t="shared" ref="J38:J40" si="8">SUM(COUNTIF(B38:H38,"9-14:30"))*(5)+(COUNTIF(B38:H38,"9-20"))*(10)+(COUNTIF(B38:H38,"9-19"))*(9)+(COUNTIF(B38:H38,"9-18"))*(8)+(COUNTIF(B38:H38,"9-17"))*(7.25)+(COUNTIF(B38:H38,"9-16"))*(6.25)+(COUNTIF(B38:H38,"9-15"))*(5.5)+(COUNTIF(B38:H38,"9-14"))*(4.5)+(COUNTIF(B38:H38,"9-13,17-20"))*(7)+(COUNTIF(B38:H38,"9-13"))*(4)+(COUNTIF(B38:H38,"9-12,18-20"))*(5)+(COUNTIF(B38:H38,"9-12,16-20"))*(7)+(COUNTIF(B38:H38,"9-12,16-19"))*(6)+(COUNTIF(B38:H38,"9-13,16-20"))*(6)+(COUNTIF(B38:H38,"9-12"))*(3)+(COUNTIF(B38:H38,"9-11:30"))*(2.5)+(COUNTIF(B38:H38,"9-11,16-19"))*(5)+(COUNTIF(B38:H38,"9-11"))*(2)+(COUNTIF(B38:H38,"9:30-11:30,16-19"))*(5)+(COUNTIF(B38:H38,"19-20"))*(1)+(COUNTIF(B38:H38,"17-20"))*(3)+(COUNTIF(B38:H38,"16-20"))*(4)+(COUNTIF(B38:H38,"15-20"))*(4.5)+(COUNTIF(B38:H38,"15-19"))*(4)+(COUNTIF(B38:H38,"14-20"))*(5.5)+(COUNTIF(B38:H38,"14-19"))*(4.5)+(COUNTIF(B38:H38,"14:30-20"))*(5)+(COUNTIF(B38:H38,"13-20"))*(6.25)+(COUNTIF(B38:H38,"13-19"))*(5.5)+(COUNTIF(B38:H38,"13-18"))*(4.5)+(COUNTIF(B38:H38,"13-17"))*(4)+(COUNTIF(B38:H38,"12-20"))*(7.25)+(COUNTIF(B38:H38,"10-20"))*(9)+(COUNTIF(B38:H38,"10-15"))*(4.5)+(COUNTIF(B38:H38,"12-18"))*(5.5)+(COUNTIF(B38:H38,"10-12,14-19"))*(6.5)+(COUNTIF(B38:H38,"10-14"))*(4)+(COUNTIF(B38:H38,"13:30-19"))*(5)+(COUNTIF(B38:H38,"14-17"))*(4)+(COUNTIF(B38:H38,"16-19"))*(3)</f>
        <v>0</v>
      </c>
      <c r="K38" s="250"/>
    </row>
    <row r="39" spans="1:14" ht="19.5" customHeight="1" x14ac:dyDescent="0.2">
      <c r="A39" s="19" t="s">
        <v>36</v>
      </c>
      <c r="B39" s="47" t="s">
        <v>49</v>
      </c>
      <c r="C39" s="20"/>
      <c r="D39" s="28"/>
      <c r="E39" s="28"/>
      <c r="F39" s="28"/>
      <c r="G39" s="28"/>
      <c r="H39" s="28"/>
      <c r="I39" s="5">
        <f t="shared" si="7"/>
        <v>1</v>
      </c>
      <c r="J39" s="249">
        <f t="shared" si="8"/>
        <v>6.25</v>
      </c>
      <c r="K39" s="250"/>
    </row>
    <row r="40" spans="1:14" ht="19.5" customHeight="1" x14ac:dyDescent="0.2">
      <c r="A40" s="18" t="s">
        <v>57</v>
      </c>
      <c r="B40" s="11" t="s">
        <v>23</v>
      </c>
      <c r="C40" s="20"/>
      <c r="D40" s="28"/>
      <c r="E40" s="28"/>
      <c r="F40" s="28"/>
      <c r="G40" s="28"/>
      <c r="H40" s="28"/>
      <c r="I40" s="5">
        <f t="shared" si="7"/>
        <v>1</v>
      </c>
      <c r="J40" s="249">
        <f t="shared" si="8"/>
        <v>3</v>
      </c>
      <c r="K40" s="250"/>
    </row>
    <row r="41" spans="1:14" ht="19.5" customHeight="1" x14ac:dyDescent="0.2">
      <c r="A41" s="49" t="s">
        <v>53</v>
      </c>
      <c r="B41" s="15"/>
      <c r="C41" s="20"/>
      <c r="D41" s="28"/>
      <c r="E41" s="28"/>
      <c r="F41" s="28"/>
      <c r="G41" s="28"/>
      <c r="H41" s="28"/>
      <c r="I41" s="5"/>
      <c r="J41" s="249"/>
      <c r="K41" s="250"/>
    </row>
    <row r="42" spans="1:14" ht="19.5" customHeight="1" x14ac:dyDescent="0.2">
      <c r="A42" s="38"/>
      <c r="B42" s="11"/>
      <c r="C42" s="74"/>
      <c r="D42" s="74"/>
      <c r="E42" s="74"/>
      <c r="F42" s="74"/>
      <c r="G42" s="74"/>
      <c r="H42" s="74"/>
      <c r="I42" s="5"/>
      <c r="J42" s="321"/>
      <c r="K42" s="322"/>
    </row>
    <row r="43" spans="1:14" ht="19.5" customHeight="1" x14ac:dyDescent="0.2">
      <c r="A43" s="35"/>
      <c r="B43" s="36"/>
      <c r="C43" s="36"/>
      <c r="D43" s="36"/>
      <c r="E43" s="36"/>
      <c r="F43" s="36"/>
      <c r="G43" s="36"/>
      <c r="H43" s="36"/>
      <c r="I43" s="369" t="s">
        <v>189</v>
      </c>
      <c r="J43" s="369"/>
      <c r="K43" s="369"/>
    </row>
    <row r="44" spans="1:14" ht="14.4" customHeight="1" x14ac:dyDescent="0.2">
      <c r="A44" s="270" t="s">
        <v>29</v>
      </c>
      <c r="B44" s="271"/>
      <c r="C44" s="12"/>
      <c r="D44" s="272" t="s">
        <v>26</v>
      </c>
      <c r="E44" s="272"/>
      <c r="H44" s="9"/>
      <c r="I44" s="9"/>
      <c r="M44" s="13"/>
      <c r="N44" s="14"/>
    </row>
    <row r="45" spans="1:14" ht="14.4" customHeight="1" x14ac:dyDescent="0.2">
      <c r="A45" s="265" t="s">
        <v>63</v>
      </c>
      <c r="B45" s="266"/>
      <c r="C45" s="267" t="s">
        <v>67</v>
      </c>
      <c r="D45" s="268"/>
      <c r="E45" s="268"/>
      <c r="F45" s="268"/>
      <c r="G45" s="268"/>
      <c r="H45" s="268"/>
      <c r="I45" s="268"/>
      <c r="J45" s="268"/>
      <c r="K45" s="268"/>
      <c r="M45" s="13"/>
      <c r="N45" s="14"/>
    </row>
    <row r="46" spans="1:14" ht="14.4" customHeight="1" x14ac:dyDescent="0.2">
      <c r="A46" s="265" t="s">
        <v>64</v>
      </c>
      <c r="B46" s="266"/>
      <c r="C46" s="267" t="s">
        <v>68</v>
      </c>
      <c r="D46" s="268"/>
      <c r="E46" s="268"/>
      <c r="F46" s="268"/>
      <c r="G46" s="268"/>
      <c r="H46" s="268"/>
      <c r="I46" s="268"/>
      <c r="J46" s="268"/>
      <c r="K46" s="268"/>
    </row>
    <row r="47" spans="1:14" ht="14.4" customHeight="1" x14ac:dyDescent="0.2">
      <c r="A47" s="64" t="s">
        <v>65</v>
      </c>
      <c r="B47" s="65"/>
      <c r="C47" s="282" t="s">
        <v>25</v>
      </c>
      <c r="D47" s="273"/>
      <c r="E47" s="273"/>
      <c r="F47" s="273"/>
      <c r="G47" s="273"/>
      <c r="H47" s="273"/>
      <c r="I47" s="273"/>
      <c r="J47" s="273"/>
      <c r="K47" s="273"/>
    </row>
    <row r="48" spans="1:14" ht="14.4" customHeight="1" x14ac:dyDescent="0.2">
      <c r="A48" s="64" t="s">
        <v>66</v>
      </c>
      <c r="B48" s="65"/>
      <c r="C48" s="66" t="s">
        <v>27</v>
      </c>
      <c r="D48" s="67"/>
      <c r="E48" s="67"/>
      <c r="F48" s="67"/>
      <c r="G48" s="67"/>
      <c r="H48" s="67"/>
      <c r="I48" s="67"/>
      <c r="J48" s="67"/>
      <c r="K48" s="67"/>
    </row>
    <row r="49" spans="1:11" ht="14.4" customHeight="1" x14ac:dyDescent="0.2">
      <c r="A49" s="285" t="s">
        <v>169</v>
      </c>
      <c r="B49" s="286"/>
      <c r="C49" s="282" t="s">
        <v>69</v>
      </c>
      <c r="D49" s="273"/>
      <c r="E49" s="273"/>
      <c r="F49" s="273"/>
      <c r="G49" s="273"/>
      <c r="H49" s="273"/>
      <c r="I49" s="273"/>
      <c r="J49" s="273"/>
      <c r="K49" s="273"/>
    </row>
    <row r="50" spans="1:11" ht="14.4" customHeight="1" x14ac:dyDescent="0.2">
      <c r="A50" s="429" t="s">
        <v>172</v>
      </c>
      <c r="B50" s="430"/>
      <c r="C50" s="67" t="s">
        <v>28</v>
      </c>
      <c r="D50" s="67"/>
      <c r="E50" s="67"/>
      <c r="F50" s="67"/>
      <c r="G50" s="67"/>
      <c r="H50" s="67"/>
      <c r="I50" s="67"/>
      <c r="J50" s="67"/>
      <c r="K50" s="67"/>
    </row>
    <row r="51" spans="1:11" ht="14.4" customHeight="1" x14ac:dyDescent="0.2">
      <c r="A51" s="280"/>
      <c r="B51" s="431"/>
      <c r="C51" s="273" t="s">
        <v>70</v>
      </c>
      <c r="D51" s="273"/>
      <c r="E51" s="273"/>
      <c r="F51" s="273"/>
      <c r="G51" s="273"/>
      <c r="H51" s="273"/>
      <c r="I51" s="273"/>
      <c r="J51" s="273"/>
      <c r="K51" s="273"/>
    </row>
    <row r="52" spans="1:11" ht="28.5" customHeight="1" x14ac:dyDescent="0.2">
      <c r="A52" s="432"/>
      <c r="B52" s="433"/>
      <c r="C52" s="280" t="s">
        <v>170</v>
      </c>
      <c r="D52" s="281"/>
      <c r="E52" s="281"/>
      <c r="F52" s="281"/>
      <c r="G52" s="281"/>
      <c r="H52" s="281"/>
      <c r="I52" s="281"/>
      <c r="J52" s="243"/>
      <c r="K52" s="243"/>
    </row>
  </sheetData>
  <mergeCells count="51">
    <mergeCell ref="J6:K6"/>
    <mergeCell ref="A50:B52"/>
    <mergeCell ref="C52:I52"/>
    <mergeCell ref="B1:F1"/>
    <mergeCell ref="H1:K1"/>
    <mergeCell ref="I3:I4"/>
    <mergeCell ref="J3:K4"/>
    <mergeCell ref="J5:K5"/>
    <mergeCell ref="J19:K20"/>
    <mergeCell ref="J7:K7"/>
    <mergeCell ref="J8:K8"/>
    <mergeCell ref="J9:K9"/>
    <mergeCell ref="J10:K10"/>
    <mergeCell ref="J11:K12"/>
    <mergeCell ref="J13:K13"/>
    <mergeCell ref="J14:K14"/>
    <mergeCell ref="J15:K15"/>
    <mergeCell ref="J16:K16"/>
    <mergeCell ref="J17:K17"/>
    <mergeCell ref="J18:K18"/>
    <mergeCell ref="J32:K32"/>
    <mergeCell ref="J21:K21"/>
    <mergeCell ref="J22:K22"/>
    <mergeCell ref="J23:K23"/>
    <mergeCell ref="J24:K24"/>
    <mergeCell ref="J25:K25"/>
    <mergeCell ref="J26:K26"/>
    <mergeCell ref="J27:K28"/>
    <mergeCell ref="F29:H29"/>
    <mergeCell ref="J29:K29"/>
    <mergeCell ref="J30:K30"/>
    <mergeCell ref="J31:K31"/>
    <mergeCell ref="A45:B45"/>
    <mergeCell ref="C45:K45"/>
    <mergeCell ref="J33:K33"/>
    <mergeCell ref="J34:K34"/>
    <mergeCell ref="J35:K36"/>
    <mergeCell ref="J38:K38"/>
    <mergeCell ref="J39:K39"/>
    <mergeCell ref="J40:K40"/>
    <mergeCell ref="J41:K41"/>
    <mergeCell ref="J42:K42"/>
    <mergeCell ref="I43:K43"/>
    <mergeCell ref="A44:B44"/>
    <mergeCell ref="D44:E44"/>
    <mergeCell ref="C51:K51"/>
    <mergeCell ref="A46:B46"/>
    <mergeCell ref="C46:K46"/>
    <mergeCell ref="C47:K47"/>
    <mergeCell ref="A49:B49"/>
    <mergeCell ref="C49:K49"/>
  </mergeCells>
  <phoneticPr fontId="13"/>
  <pageMargins left="0.59055118110236227" right="0.27559055118110237" top="0.31496062992125984" bottom="0.11811023622047245" header="0.51181102362204722" footer="0.51181102362204722"/>
  <pageSetup paperSize="9" scale="92"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738011D2-76A6-41B7-AF43-1E8A2E650C28}">
          <x14:formula1>
            <xm:f>'F:\Users\clmiwa-three\Downloads\[《中村》新田・草加 エリア 仮シフト【12月16日～1月15日】.xlsx]参照データベース'!#REF!</xm:f>
          </x14:formula1>
          <xm:sqref>G1 C43:H43</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12</vt:i4>
      </vt:variant>
    </vt:vector>
  </HeadingPairs>
  <TitlesOfParts>
    <vt:vector size="12" baseType="lpstr">
      <vt:lpstr>蒲6</vt:lpstr>
      <vt:lpstr>東6</vt:lpstr>
      <vt:lpstr>東Y6</vt:lpstr>
      <vt:lpstr>マ安6</vt:lpstr>
      <vt:lpstr>ﾓ草6</vt:lpstr>
      <vt:lpstr>草6</vt:lpstr>
      <vt:lpstr>新6</vt:lpstr>
      <vt:lpstr>ﾙｰﾄ6</vt:lpstr>
      <vt:lpstr>本6</vt:lpstr>
      <vt:lpstr>八6</vt:lpstr>
      <vt:lpstr>2号6</vt:lpstr>
      <vt:lpstr>伊6</vt:lpstr>
    </vt:vector>
  </TitlesOfParts>
  <Company>有限会社クリーニングみわ</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clmiwa-chikako</dc:creator>
  <cp:lastModifiedBy>有限会社クリーニングみわ</cp:lastModifiedBy>
  <cp:lastPrinted>2026-05-31T01:18:04Z</cp:lastPrinted>
  <dcterms:created xsi:type="dcterms:W3CDTF">2019-12-11T07:30:00Z</dcterms:created>
  <dcterms:modified xsi:type="dcterms:W3CDTF">2026-05-31T05:48:03Z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1041-10.8.0.6186</vt:lpwstr>
  </property>
</Properties>
</file>